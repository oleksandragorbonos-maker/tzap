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  <sheet xmlns:r="http://schemas.openxmlformats.org/officeDocument/2006/relationships" name="Рецензування" sheetId="8" state="visible" r:id="rId8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3" borderId="4" pivotButton="0" quotePrefix="0" xfId="0"/>
    <xf numFmtId="0" fontId="0" fillId="0" borderId="4" pivotButton="0" quotePrefix="0" xfId="0"/>
    <xf numFmtId="0" fontId="1" fillId="0" borderId="4" pivotButton="0" quotePrefix="0" xfId="0"/>
    <xf numFmtId="0" fontId="6" fillId="0" borderId="4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2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5" t="inlineStr">
        <is>
          <t>Результат</t>
        </is>
      </c>
      <c r="K1" s="25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Дрєпіна А. (ІТ)</t>
        </is>
      </c>
      <c r="D2" s="22" t="inlineStr">
        <is>
          <t>1✓ 2✓ 3✓ 4✓ 5✓ 6✗ 7✓</t>
        </is>
      </c>
      <c r="E2" s="22" t="inlineStr">
        <is>
          <t>не пройшло</t>
        </is>
      </c>
      <c r="F2" s="22" t="inlineStr">
        <is>
          <t>Рецензія ІТ (Дрєпіна А.), 12.10.2026, звірено зі SRS 1.0: цитата з 2.2 дослівна («…на настільних операційних системах; мінімальна роздільна здатність вікна 1280×800»); вимога про 375 px і 44×44 є в розд. 6 без ID, між U-20 і D-10; суперечність реальна, головний критерій — несуперечливість (п. 2); автори СМ і КТ зазначені. Два варіанти не узгоджені: СМ лише знижує мінімальну ширину вікна до 375 px (лишає «настільні ОС» і 1280×800 як основний розмір; позначено «потребує підтвердження замовником»); КТ додає Chrome для Android 120+ і Safari для iOS 17+ та прибирає 1280×800. Варіант КТ створює нову вимогу, якої немає в SRS 1.0 (мобільні браузери й версії; у 1.2 поза обсягом лише мобільний застосунок), і без позначки «потребує підтвердження замовником» у тексті виправлення (у Примітці рядка вона є) — п. 6 ✗. Залишити варіант СМ як мінімальний; мобільні браузери — окремим питанням замовнику. Редакційне: 44×44 px (сенсорне керування) узгодити з формулюванням «настільні ОС». Повернено авторам: ТА залишає в реєстрі лише варіант СМ.</t>
        </is>
      </c>
      <c r="G2" s="22" t="n"/>
      <c r="H2" s="22" t="n"/>
      <c r="J2" s="28" t="inlineStr">
        <is>
          <t>пройшло</t>
        </is>
      </c>
      <c r="K2" s="26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6✗ 7✓</t>
        </is>
      </c>
      <c r="E3" s="22" t="inlineStr">
        <is>
          <t>не 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</t>
        </is>
      </c>
      <c r="G3" s="22" t="n"/>
      <c r="H3" s="22" t="n"/>
      <c r="J3" s="28" t="inlineStr">
        <is>
          <t>не пройшло</t>
        </is>
      </c>
      <c r="K3" s="26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8" t="inlineStr">
        <is>
          <t>очікує КТ</t>
        </is>
      </c>
      <c r="K4" s="26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6✗ 7✓</t>
        </is>
      </c>
      <c r="E5" s="22" t="inlineStr">
        <is>
          <t>не пройшло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</t>
        </is>
      </c>
      <c r="G5" s="22" t="n"/>
      <c r="H5" s="22" t="n"/>
      <c r="J5" s="28" t="inlineStr">
        <is>
          <t>очікує ІТ</t>
        </is>
      </c>
      <c r="K5" s="26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</t>
        </is>
      </c>
      <c r="G6" s="22" t="n"/>
      <c r="H6" s="22" t="n"/>
      <c r="J6" s="28" t="inlineStr">
        <is>
          <t>очікує коміт ІТ</t>
        </is>
      </c>
      <c r="K6" s="26">
        <f>COUNTIF($E$2:$E$72,J6)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немає незалежного рецензента</t>
        </is>
      </c>
      <c r="F7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7" s="22" t="n"/>
      <c r="H7" s="22" t="n"/>
      <c r="J7" s="28" t="inlineStr">
        <is>
          <t>очікує SRS 1.1</t>
        </is>
      </c>
      <c r="K7" s="26">
        <f>COUNTIF($E$2:$E$72,J7)</f>
        <v/>
      </c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  <c r="J8" s="28" t="inlineStr">
        <is>
          <t>немає незалежного рецензента</t>
        </is>
      </c>
      <c r="K8" s="26">
        <f>COUNTIF($E$2:$E$72,J8)</f>
        <v/>
      </c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</t>
        </is>
      </c>
      <c r="G9" s="22" t="n"/>
      <c r="H9" s="22" t="n"/>
      <c r="J9" s="27" t="inlineStr">
        <is>
          <t>Разом</t>
        </is>
      </c>
      <c r="K9" s="28">
        <f>SUM(K2:K8)</f>
        <v/>
      </c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</t>
        </is>
      </c>
      <c r="G11" s="22" t="n"/>
      <c r="H11" s="22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Дрєпіна А. (ІТ)</t>
        </is>
      </c>
      <c r="D12" s="22" t="inlineStr">
        <is>
          <t>1✓ 2✓ 3✓ 4✓ 5✓ 6✗ 7✓</t>
        </is>
      </c>
      <c r="E12" s="22" t="inlineStr">
        <is>
          <t>не пройшло</t>
        </is>
      </c>
      <c r="F12" s="22" t="inlineStr">
        <is>
          <t>Рецензія ІТ (Дрєпіна А.), 12.10.2026, звірено зі SRS 1.0: цитата F-100 дослівна («Обмеження на кількість одиниць у рядку визначає вимога BL-25.»); у розд. 5 є BL-10…BL-80 з кроком 10, BL-25 немає (п. 3 чек-листа повноти доречний); автори СМ, КТ і ТА зазначені. Два варіанти не узгоджені: КТ/ТА називають BL-10, BL-20 і BL-40; СМ — лише BL-40. Варіант КТ/ТА правильний і повний: BL-10 — qty від 1 до 99 при додаванні, BL-20 — результуюча кількість рядка не більша за 99, BL-40 — changeQty від 1 до 99. Варіант СМ неповний — п. 6 ✗: посилання лише на BL-40 лишає поза межами правила BL-10 і BL-20 (додавання та повторне додавання). Залишити варіант КТ/ТА (BL-10, BL-20 і BL-40); варіант СМ прибрати, з нього можна взяти лише слова «ціле число від 1 до 99 включно» (як у BL-10). Повернено авторам: ТА залишає в реєстрі лише варіант КТ/ТА.</t>
        </is>
      </c>
      <c r="G12" s="22" t="n"/>
      <c r="H12" s="22" t="n"/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—</t>
        </is>
      </c>
      <c r="D13" s="22" t="inlineStr">
        <is>
          <t>—</t>
        </is>
      </c>
      <c r="E13" s="22" t="inlineStr">
        <is>
          <t>немає незалежного рецензента</t>
        </is>
      </c>
      <c r="F13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6✗ 7✓</t>
        </is>
      </c>
      <c r="E14" s="22" t="inlineStr">
        <is>
          <t>не 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</t>
        </is>
      </c>
      <c r="G14" s="22" t="n"/>
      <c r="H14" s="22" t="n"/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—</t>
        </is>
      </c>
      <c r="D15" s="22" t="inlineStr">
        <is>
          <t>—</t>
        </is>
      </c>
      <c r="E15" s="22" t="inlineStr">
        <is>
          <t>немає незалежного рецензента</t>
        </is>
      </c>
      <c r="F15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</t>
        </is>
      </c>
      <c r="G16" s="22" t="n"/>
      <c r="H16" s="22" t="n"/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</t>
        </is>
      </c>
      <c r="G17" s="22" t="n"/>
      <c r="H17" s="22" t="n"/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</t>
        </is>
      </c>
      <c r="G21" s="22" t="n"/>
      <c r="H21" s="22" t="n"/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</t>
        </is>
      </c>
      <c r="G22" s="22" t="n"/>
      <c r="H22" s="22" t="n"/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</t>
        </is>
      </c>
      <c r="G24" s="22" t="n"/>
      <c r="H24" s="22" t="n"/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</t>
        </is>
      </c>
      <c r="G25" s="22" t="n"/>
      <c r="H25" s="22" t="n"/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</t>
        </is>
      </c>
      <c r="G26" s="22" t="n"/>
      <c r="H26" s="22" t="n"/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</t>
        </is>
      </c>
      <c r="G29" s="22" t="n"/>
      <c r="H29" s="22" t="n"/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</t>
        </is>
      </c>
      <c r="G30" s="22" t="n"/>
      <c r="H30" s="22" t="n"/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</t>
        </is>
      </c>
      <c r="G32" s="22" t="n"/>
      <c r="H32" s="22" t="n"/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</t>
        </is>
      </c>
      <c r="G33" s="22" t="n"/>
      <c r="H33" s="22" t="n"/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6✗ 7✓</t>
        </is>
      </c>
      <c r="E35" s="22" t="inlineStr">
        <is>
          <t>не 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</t>
        </is>
      </c>
      <c r="G35" s="22" t="n"/>
      <c r="H35" s="22" t="n"/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</t>
        </is>
      </c>
      <c r="G36" s="22" t="n"/>
      <c r="H36" s="22" t="n"/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6✗ 7✓</t>
        </is>
      </c>
      <c r="E37" s="22" t="inlineStr">
        <is>
          <t>не 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</t>
        </is>
      </c>
      <c r="G37" s="22" t="n"/>
      <c r="H37" s="22" t="n"/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 Повторно перевірено у PR #27: виправлено.</t>
        </is>
      </c>
      <c r="G40" s="22" t="inlineStr">
        <is>
          <t>12.10.2026 (ІТ, PR #27, коміт cb56049)</t>
        </is>
      </c>
      <c r="H40" s="22" t="inlineStr">
        <is>
          <t>Горбонос Олександра (СМ), 12.10.2026 (PR #27, коміт cb56049; у main ще не змерджено)</t>
        </is>
      </c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 Повторно перевірено у PR #27: виправлено.</t>
        </is>
      </c>
      <c r="G41" s="22" t="inlineStr">
        <is>
          <t>12.10.2026 (ІТ, PR #27, коміт cb56049)</t>
        </is>
      </c>
      <c r="H41" s="22" t="inlineStr">
        <is>
          <t>Горбонос Олександра (СМ), 12.10.2026 (PR #27, коміт cb56049; у main ще не змерджено)</t>
        </is>
      </c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 Повторно перевірено у PR #27: виправлено.</t>
        </is>
      </c>
      <c r="G43" s="22" t="inlineStr">
        <is>
          <t>12.10.2026 (ІТ, PR #27, коміт cb56049)</t>
        </is>
      </c>
      <c r="H43" s="22" t="inlineStr">
        <is>
          <t>Горбонос Олександра (СМ), 12.10.2026 (PR #27, коміт cb56049; у main ще не змерджено)</t>
        </is>
      </c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 Повторно перевірено у PR #27: виправлено.</t>
        </is>
      </c>
      <c r="G47" s="22" t="inlineStr">
        <is>
          <t>12.10.2026 (ІТ, PR #27, коміт cb56049)</t>
        </is>
      </c>
      <c r="H47" s="22" t="inlineStr">
        <is>
          <t>Горбонос Олександра (СМ), 12.10.2026 (PR #27, коміт cb56049; у main ще не змерджено)</t>
        </is>
      </c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</t>
        </is>
      </c>
      <c r="G53" s="22" t="n"/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 Повторно перевірено у PR #27: виправлено.</t>
        </is>
      </c>
      <c r="G56" s="22" t="inlineStr">
        <is>
          <t>12.10.2026 (ІТ, PR #27, коміт cb56049)</t>
        </is>
      </c>
      <c r="H56" s="22" t="inlineStr">
        <is>
          <t>Горбонос Олександра (СМ), 12.10.2026 (PR #27, коміт cb56049; у main ще не змерджено)</t>
        </is>
      </c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 Повторно перевірено у PR #27: виправлено.</t>
        </is>
      </c>
      <c r="G57" s="22" t="inlineStr">
        <is>
          <t>12.10.2026 (ІТ, PR #27, коміт cb56049)</t>
        </is>
      </c>
      <c r="H57" s="22" t="inlineStr">
        <is>
          <t>Горбонос Олександра (СМ), 12.10.2026 (PR #27, коміт cb56049; у main ще не змерджено)</t>
        </is>
      </c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 Повторно перевірено у PR #27: виправлено. Тип стає «Ні» (15 застосовних / 9 незастосовних): перевірка СМ пройшла, застосовність затверджує КТ (SCRUM-58) — підтвердження ще очікується.</t>
        </is>
      </c>
      <c r="G58" s="22" t="inlineStr">
        <is>
          <t>12.10.2026 (ІТ, PR #27, коміт cb56049)</t>
        </is>
      </c>
      <c r="H58" s="22" t="inlineStr">
        <is>
          <t>Горбонос Олександра (СМ), 12.10.2026 (PR #27, коміт cb56049; у main ще не змерджено)</t>
        </is>
      </c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 Повторно перевірено у PR #27: виправлено.</t>
        </is>
      </c>
      <c r="G64" s="22" t="inlineStr">
        <is>
          <t>12.10.2026 (ІТ, PR #27, коміт cb56049)</t>
        </is>
      </c>
      <c r="H64" s="22" t="inlineStr">
        <is>
          <t>Горбонос Олександра (СМ), 12.10.2026 (PR #27, коміт cb56049; у main ще не змерджено)</t>
        </is>
      </c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SCRUM-71 (розд. 5–6, прив'язка до ID SRS 1.1): перевірено версії v1–v4, передано v5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main; пп. 1–5 плану</t>
        </is>
      </c>
      <c r="E69" s="22" t="inlineStr">
        <is>
          <t>пройшло</t>
        </is>
      </c>
      <c r="F69" s="22" t="inlineStr">
        <is>
          <t>v1 (11.10): не пройшло — основа старіша за main (зникли ризики в Цілях і правки SCRUM-68–70), D-10/D-20 переплутані, у розд. 5–6 бракувало інструментів, припущень, наслідку/пом'якшення/власника.
v2: розд. 5–6 виправлено; типи 2, 3, 6, 14 з Описами слабшими за main.
v3: виправлено типи 2, 3, 4, 6, 15, 16, 22; тип 14 посилався на валідацію індексу, якої немає в модулі.
v4: пройшло з трьома правками (шкала 2.1 — прибрати l10n; причина «Ні» типу 14 — від продукту, не від demo; тип 13 — прибрати GUI-10). Тип 14 → «Ні» потребує підтвердження КТ (SCRUM-58). Власник ризику 4 — СМ (рішення СМ, 12.10.2026); запис «СМ / ІТ» у плані лишається без змін.
v5 = PR #27 (коміт cb56049, 12.10.2026): вміст збігається з перевіреним файлом (різниця лише в кінцевому переносі рядка); Описи типів — на рівні main, розд. 5–6 і правки 2.1/тип 13/тип 14 враховано. Залишається: merge PR #27 і підтвердження КТ щодо типу 14.</t>
        </is>
      </c>
      <c r="G69" s="22" t="inlineStr">
        <is>
          <t>12.10.2026 (ІТ, PR #27, коміт cb56049)</t>
        </is>
      </c>
      <c r="H69" s="22" t="inlineStr">
        <is>
          <t>Горбонос Олександра (СМ), 12.10.2026 (PR #27, коміт cb56049; у main ще не змерджено)</t>
        </is>
      </c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—</t>
        </is>
      </c>
      <c r="E70" s="22" t="inlineStr">
        <is>
          <t>очікує SRS 1.1</t>
        </is>
      </c>
      <c r="F70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—</t>
        </is>
      </c>
      <c r="E71" s="22" t="inlineStr">
        <is>
          <t>очікує SRS 1.1</t>
        </is>
      </c>
      <c r="F71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—</t>
        </is>
      </c>
      <c r="E72" s="22" t="inlineStr">
        <is>
          <t>очікує SRS 1.1</t>
        </is>
      </c>
      <c r="F72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2" s="22" t="n"/>
      <c r="H72" s="22" t="n"/>
    </row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КТ; якщо КТ також співавтор — ІТ; якщо автори всі четверо — незалежного рецензента немає (§4.9).</t>
        </is>
      </c>
    </row>
    <row r="79" ht="15" customHeight="1">
      <c r="A79" s="10" t="inlineStr">
        <is>
          <t>Версії: Реєстр і План — main (92899b6, 12.10.2026). Рецензент СМ: Горбонос О., 12.10.2026; план повторно — PR #27 (cb56049).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2026-10-12T20:14:29Z</dcterms:modified>
</cp:coreProperties>
</file>