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 файл" sheetId="1" state="visible" r:id="rId1"/>
    <sheet xmlns:r="http://schemas.openxmlformats.org/officeDocument/2006/relationships" name="Розподіл розділів" sheetId="2" state="visible" r:id="rId2"/>
    <sheet xmlns:r="http://schemas.openxmlformats.org/officeDocument/2006/relationships" name="audit_horbonos" sheetId="3" state="visible" r:id="rId3"/>
    <sheet xmlns:r="http://schemas.openxmlformats.org/officeDocument/2006/relationships" name="audit_korotka" sheetId="4" state="visible" r:id="rId4"/>
    <sheet xmlns:r="http://schemas.openxmlformats.org/officeDocument/2006/relationships" name="audit_drepina" sheetId="5" state="visible" r:id="rId5"/>
    <sheet xmlns:r="http://schemas.openxmlformats.org/officeDocument/2006/relationships" name="audit_tymchak" sheetId="6" state="visible" r:id="rId6"/>
    <sheet xmlns:r="http://schemas.openxmlformats.org/officeDocument/2006/relationships" name="Реєстр" sheetId="7" state="visible" r:id="rId7"/>
    <sheet xmlns:r="http://schemas.openxmlformats.org/officeDocument/2006/relationships" name="Спірні" sheetId="8" state="visible" r:id="rId8"/>
    <sheet xmlns:r="http://schemas.openxmlformats.org/officeDocument/2006/relationships" name="Рецензування" sheetId="9" state="visible" r:id="rId9"/>
  </sheets>
  <definedNames>
    <definedName name="_xlnm._FilterDatabase" localSheetId="6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3" borderId="4" pivotButton="0" quotePrefix="0" xfId="0"/>
    <xf numFmtId="0" fontId="6" fillId="0" borderId="4" pivotButton="0" quotePrefix="0" xfId="0"/>
    <xf numFmtId="0" fontId="0" fillId="0" borderId="4" pivotButton="0" quotePrefix="0" xfId="0"/>
    <xf numFmtId="0" fontId="1" fillId="0" borderId="4" pivotButton="0" quotePrefix="0" xfId="0"/>
    <xf numFmtId="0" fontId="6" fillId="0" borderId="5" pivotButton="0" quotePrefix="0" xfId="0"/>
    <xf numFmtId="0" fontId="0" fillId="0" borderId="5" pivotButton="0" quotePrefix="0" xfId="0"/>
    <xf numFmtId="0" fontId="1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1" workbookViewId="0">
      <selection activeCell="A1" sqref="A1"/>
    </sheetView>
  </sheetViews>
  <sheetFormatPr baseColWidth="8" defaultRowHeight="15"/>
  <cols>
    <col width="14" customWidth="1" min="1" max="1"/>
    <col width="80" customWidth="1" min="2" max="2"/>
  </cols>
  <sheetData>
    <row r="1">
      <c r="A1" s="11" t="inlineStr">
        <is>
          <t>Поле</t>
        </is>
      </c>
      <c r="B1" s="11" t="inlineStr">
        <is>
          <t>Значення</t>
        </is>
      </c>
    </row>
    <row r="2">
      <c r="A2" s="25" t="inlineStr">
        <is>
          <t>Артефакт</t>
        </is>
      </c>
      <c r="B2" s="10" t="inlineStr">
        <is>
          <t>Реєстр дефектів вимог SRS 1.0 (аудит розділів, зведений реєстр, спірні рядки)</t>
        </is>
      </c>
    </row>
    <row r="3">
      <c r="A3" s="25" t="inlineStr">
        <is>
          <t>Продукт</t>
        </is>
      </c>
      <c r="B3" s="10" t="inlineStr">
        <is>
          <t>№1 «ШопЛайн»</t>
        </is>
      </c>
    </row>
    <row r="4">
      <c r="A4" s="25" t="inlineStr">
        <is>
          <t>Спринт</t>
        </is>
      </c>
      <c r="B4" s="10" t="inlineStr">
        <is>
          <t>2 (1–15 жовтня 2026)</t>
        </is>
      </c>
    </row>
    <row r="5">
      <c r="A5" s="25" t="inlineStr">
        <is>
          <t>Дата</t>
        </is>
      </c>
      <c r="B5" s="10" t="inlineStr">
        <is>
          <t>13.10.2026</t>
        </is>
      </c>
    </row>
    <row r="6">
      <c r="A6" s="25" t="inlineStr">
        <is>
          <t>Автори</t>
        </is>
      </c>
      <c r="B6" s="10" t="inlineStr">
        <is>
          <t>Горбонос О. (СМ), Коротка К. (КТ), Дрєпіна А. (ІТ), Тимчак А. (ТА)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tabSelected="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5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Для SRS 1.1 обрано мінімальний варіант СМ (ширина від 375 px, основний розмір 1280×800) за рекомендацією рецензії ІТ: вихідні вимоги не називають мобільних браузерів і їхніх версій, тож вносити їх без замовника не можна. Варіант КТ (Chrome для Android 120+, Safari для iOS 17+) винесено питанням замовнику на демо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область (штат), телефон, адреса електронної пошти, пароль;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Після рецензії СМ (12.10.2026) «область (штат)» віднесено до обов'язкових полів: на demo поле state обов'язкове (aria-required=true у формі реєстрації), а F-110 (крок 3) включає область до адреси доставки. Перелік обов'язкових полів —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Після рецензії КТ (12.10.2026) залишено варіант Горбонос: варіант Тимчак («перенаправляє … на сторінку особистого кабінету (F-130)») суперечив F-110 — після входу на кроці «Sign in» покупець переходить на крок «Billing Address», а не в кабінет. Варіант Тимчак прибрано.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 До SRS 1.1 обрано варіант Горбонос (1 с): зберігає значення 1 с із SRS 1.0 і прибирає лише нездійсненну гарантію доставки до скриньки.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Відхилено після обговорення (аркуш «Спірні», модерація КТ, 08.10.2026): наявність повідомлення про відсутність товарів перевіряється однозначно, точний текст — деталь дизайну; рішення однакове з №20.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 (час 2 с і текст повідомлення — потребує підтвердження замовником);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 До SRS 1.1 обрано варіант Тимчак: результат спостерігається на сторінці товару (повідомлення, звірене з demo) без переходу в кошик і пов'язаний з BL-20.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inlineStr">
        <is>
          <t>Для SRS 1.1 обрано варіант КТ/ТА (посилання на всі вимоги, що задають межі кількості: BL-10, BL-20, BL-40); варіант СМ прибрано за рецензією SCRUM-59.</t>
        </is>
      </c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F-110: «… вартість доставки визначається за BL-60: 0.00 грн, якщо сума після знижки за обсяг (BL-50) і знижки за промокодом (BL-80) не менша за 1500 грн, інакше 120.00 грн.» Формулювання збігається з виправленням BL-60 (рядок №33). База порогу, поріг і межа — потребують підтвердження замовником.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Переписано за рішенням команди (SCRUM-55, аркуш «Спірні»): одне рішення для F-110 і BL-60 разом із №33 — база порогу = сума після знижки за обсяг і знижки за промокодом, поріг 1500 грн, межа «не менша за»; попередні варіанти авторів зведено в один. Знижки й доставка в підсумку замовлення — вимога нової функції (№13).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Окремо не виправляється: F-110 правиться одним рішенням разом із №12 і №33. У F-110 знижки й вартість доставки в підсумку замовлення позначаються як вимога нової функції: «Підсумок замовлення містить суму товарів; як вимога нової функції (модуль програми лояльності, розд. 2.3) — також знижку за обсяг, знижку за промокодом і вартість доставки за BL-60.» Потребує підтвердження замовником.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Прийнято за рішенням команди (SCRUM-55, аркуш «Спірні»): суперечність F-110 і розд. 2.3 усувається позначкою «вимога нової функції», а не вилученням знижок із підсумку; виправлення спільне з №12 і №33. Потребує підтвердження замовником.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 До SRS 1.1 обрано варіант Тимчак: лише він задає максимальну довжину повідомлення, відсутність якої названо в описі дефекту.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Відхилено після обговорення (аркуш «Спірні», модерація КТ, 08.10.2026): перелік мов узято з demo, а не зі SRS. Винесено питанням замовнику на демо: які мови підтримує перемикач, чи є українська, яка мова за замовчуванням.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Відхилено після обговорення (аркуш «Спірні», модерація КТ, 08.10.2026): наявність повідомлення замість таблиці перевіряється однозначно, точний текст — деталь дизайну; рішення однакове з №8.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 До SRS 1.1 обрано варіант Коротка (вибір ТА): зберігає намір замовника (мінімальна роздільна здатність) і задає перевірюваний час для картки за 10 Мбіт/с.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 До SRS 1.1 обрано варіант Коротка (вибір ТА): задано інструмент, кількість вимірювань і частку (95 %), тож результат тесту однозначний.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 До SRS 1.1 варіанти об'єднано (вибір ТА): bcrypt, лише HTTPS із перенаправленням HTTP, код 403 для даних іншого покупця (Коротка); TLS 1.3 і відсутність вразливостей Critical/High за скануванням на локальному тестовому стенді (Дрєпіна)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 До SRS 1.1 обрано варіант Дрєпіна (вибір ТА): його вже використовує план тестування (тип 3, 10 учасників).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 Виправлення №28 і №29 правлять одне речення BL-10 — у SRS 1.1 вносяться одним записом, щоб не втратити «name».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inlineStr">
        <is>
          <t>Правило «name — непорожній рядок» — нова вимога, потребує підтвердження замовником. Виправлення №28 і №29 правлять одне речення BL-10 — у SRS 1.1 вносяться одним записом.</t>
        </is>
      </c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Відхилено після обговорення (аркуш «Спірні», модерація КТ, 08.10.2026): п. 4 чек-листа простежуваності не порушено — формат ID із кроком 10 дозволяє розділити вимогу без впливу на решту ID.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inlineStr">
        <is>
          <t>Відхилено після обговорення (аркуш «Спірні», модерація КТ, 08.10.2026): «від N» — нижня межа включно, застосовується лише найвищий рівень (US-06); єдина інтерпретація існує.</t>
        </is>
      </c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Результат містить ознаку придатності та причину відмови — по одній на кожну умову: INVALID_LENGTH (довжина коду поза межами 6–10 символів), EXPIRED (дата закінчення дії раніша за today), ALREADY_USED (одноразовий код уже використано), INVALID_PERCENT (для типу «відсоток» значення поза межами 1–50 включно), INVALID_AMOUNT (для типу «фіксована сума» значення не більше 0 або перевищує subtotal мінус знижка за обсяг (BL-50)); якщо не виконано кілька умов, повертається причина першої з них у цьому порядку;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inlineStr">
        <is>
          <t>Переписано за рішенням команди (SCRUM-55, аркуш «Спірні»): прибрано NOT_FOUND (у SRS немає реєстру кодів), по одній причині на кожну з п'яти умов BL-70. Назви причин і порядок перевірки — потребує підтвердження замовником.</t>
        </is>
      </c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 Виправлення звужує правило замовника (перевірка лише в межах ШопЛайн) — потребує підтвердження замовником.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Обмежити фіксований промокод у BL-70: «… для типу «фіксована сума» значення більше 0 і не перевищує subtotal мінус знижка за обсяг (BL-50) …». Тоді сума до оплати не може бути від'ємною: відсотковий промокод — не більше 50 %, знижка за обсяг — не більше 15 %. Нова вимога BL-90 не потрібна.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inlineStr">
        <is>
          <t>Переписано за рішенням команди (SCRUM-55, аркуш «Спірні»): рішення дозволило два варіанти (обмеження в BL-70 або BL-90 лише з обрізанням до 0.00 і без доставки); ТА (Тимчак А.) обрала обмеження в BL-70; вартість доставки не зачіпається. Пов'язано з рядком №34 (причина INVALID_AMOUNT). Потребує підтвердження замовником.</t>
        </is>
      </c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1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4" customWidth="1" min="2" max="2"/>
    <col width="18" customWidth="1" min="3" max="3"/>
    <col width="26" customWidth="1" min="4" max="4"/>
    <col width="14" customWidth="1" min="5" max="5"/>
    <col width="80" customWidth="1" min="6" max="6"/>
    <col width="16" customWidth="1" min="7" max="7"/>
    <col width="24" customWidth="1" min="8" max="8"/>
    <col width="3" customWidth="1" min="9" max="9"/>
    <col width="32" customWidth="1" min="10" max="10"/>
    <col width="10" customWidth="1" min="11" max="11"/>
  </cols>
  <sheetData>
    <row r="1">
      <c r="A1" s="21" t="inlineStr">
        <is>
          <t>Артефакт/рядок</t>
        </is>
      </c>
      <c r="B1" s="21" t="inlineStr">
        <is>
          <t>Автор</t>
        </is>
      </c>
      <c r="C1" s="21" t="inlineStr">
        <is>
          <t>Рецензент</t>
        </is>
      </c>
      <c r="D1" s="21" t="inlineStr">
        <is>
          <t>Перевірені пункти</t>
        </is>
      </c>
      <c r="E1" s="21" t="inlineStr">
        <is>
          <t>Результат</t>
        </is>
      </c>
      <c r="F1" s="21" t="inlineStr">
        <is>
          <t>Зауваження</t>
        </is>
      </c>
      <c r="G1" s="21" t="inlineStr">
        <is>
          <t>Виправлено (дата)</t>
        </is>
      </c>
      <c r="H1" s="21" t="inlineStr">
        <is>
          <t>Повторне підтвердження (ПІБ, дата)</t>
        </is>
      </c>
      <c r="J1" s="26" t="inlineStr">
        <is>
          <t>Результат</t>
        </is>
      </c>
      <c r="K1" s="26" t="inlineStr">
        <is>
          <t>Рядків</t>
        </is>
      </c>
    </row>
    <row r="2">
      <c r="A2" s="22" t="inlineStr">
        <is>
          <t>Реєстр №1 · 2.2 ↔ розд. 6 (вимога про 375 px, без ID) · Несуперечливість</t>
        </is>
      </c>
      <c r="B2" s="22" t="inlineStr">
        <is>
          <t>Горбонос О. (СМ), Коротка К. (КТ)</t>
        </is>
      </c>
      <c r="C2" s="22" t="inlineStr">
        <is>
          <t>Дрєпіна А. (ІТ)</t>
        </is>
      </c>
      <c r="D2" s="22" t="inlineStr">
        <is>
          <t>1✓ 2✓ 3✓ 4✓ 5✓ 6✗ 7✓</t>
        </is>
      </c>
      <c r="E2" s="22" t="inlineStr">
        <is>
          <t>очікує ІТ</t>
        </is>
      </c>
      <c r="F2" s="22" t="inlineStr">
        <is>
          <t>Рецензія ІТ (Дрєпіна А.), 12.10.2026, звірено зі SRS 1.0: цитата з 2.2 дослівна («…на настільних операційних системах; мінімальна роздільна здатність вікна 1280×800»); вимога про 375 px і 44×44 є в розд. 6 без ID, між U-20 і D-10; суперечність реальна, головний критерій — несуперечливість (п. 2); автори СМ і КТ зазначені. Два варіанти не узгоджені: СМ лише знижує мінімальну ширину вікна до 375 px (лишає «настільні ОС» і 1280×800 як основний розмір; позначено «потребує підтвердження замовником»); КТ додає Chrome для Android 120+ і Safari для iOS 17+ та прибирає 1280×800. Варіант КТ створює нову вимогу, якої немає в SRS 1.0 (мобільні браузери й версії; у 1.2 поза обсягом лише мобільний застосунок), і без позначки «потребує підтвердження замовником» у тексті виправлення (у Примітці рядка вона є) — п. 6 ✗. Залишити варіант СМ як мінімальний; мобільні браузери — окремим питанням замовнику. Редакційне: 44×44 px (сенсорне керування) узгодити з формулюванням «настільні ОС». Повернено авторам: ТА залишає в реєстрі лише варіант СМ. Виправлено в main (PR #28) 13.10.2026: обрано варіант А (ширина від 375 px, основний розмір 1280×800), мобільні браузери винесено питанням замовнику; очікує повторного підтвердження ІТ (Дрєпіна А.).</t>
        </is>
      </c>
      <c r="G2" s="22" t="inlineStr">
        <is>
          <t>13.10.2026 (ТА, PR #28)</t>
        </is>
      </c>
      <c r="H2" s="22" t="n"/>
      <c r="J2" s="27" t="inlineStr">
        <is>
          <t>пройшло</t>
        </is>
      </c>
      <c r="K2" s="28">
        <f>COUNTIF($E$2:$E$72,J2)</f>
        <v/>
      </c>
    </row>
    <row r="3">
      <c r="A3" s="22" t="inlineStr">
        <is>
          <t>Реєстр №2 · F-10 · Повнота</t>
        </is>
      </c>
      <c r="B3" s="22" t="inlineStr">
        <is>
          <t>Тимчак А. (ТА)</t>
        </is>
      </c>
      <c r="C3" s="22" t="inlineStr">
        <is>
          <t>Горбонос О. (СМ)</t>
        </is>
      </c>
      <c r="D3" s="22" t="inlineStr">
        <is>
          <t>1✓ 2✓ 3✓ 4✓ 5✓ 6✓ 7✓</t>
        </is>
      </c>
      <c r="E3" s="22" t="inlineStr">
        <is>
          <t>пройшло</t>
        </is>
      </c>
      <c r="F3" s="22" t="inlineStr">
        <is>
          <t>Виправлення робить «область (штат)» необов'язковою, але на demo поле state обов'язкове (aria-required=true у формі реєстрації, перевірено 12.10.2026), а F-110 (крок 3) включає область до адреси доставки. Узгодити: або «область» стає обов'язковою, або змінити F-110; позначити «потребує підтвердження замовником». Повернено ТА. Повторно перевірено 13.10.2026: «область (штат)» тепер обов'язкова в F-10, обґрунтування в Примітці (PR #28).</t>
        </is>
      </c>
      <c r="G3" s="22" t="inlineStr">
        <is>
          <t>13.10.2026 (ТА, PR #28)</t>
        </is>
      </c>
      <c r="H3" s="22" t="inlineStr">
        <is>
          <t>Горбонос Олександра (СМ), 13.10.2026 (main, PR #28)</t>
        </is>
      </c>
      <c r="J3" s="27" t="inlineStr">
        <is>
          <t>не пройшло</t>
        </is>
      </c>
      <c r="K3" s="28">
        <f>COUNTIF($E$2:$E$72,J3)</f>
        <v/>
      </c>
    </row>
    <row r="4">
      <c r="A4" s="22" t="inlineStr">
        <is>
          <t>Реєстр №3 · F-10 · Повнота</t>
        </is>
      </c>
      <c r="B4" s="22" t="inlineStr">
        <is>
          <t>Тимчак А. (ТА)</t>
        </is>
      </c>
      <c r="C4" s="22" t="inlineStr">
        <is>
          <t>Горбонос О. (СМ)</t>
        </is>
      </c>
      <c r="D4" s="22" t="inlineStr">
        <is>
          <t>1✓ 2✓ 3✓ 4✓ 5✓ 6✓ 7✓</t>
        </is>
      </c>
      <c r="E4" s="22" t="inlineStr">
        <is>
          <t>пройшло</t>
        </is>
      </c>
      <c r="F4" s="22" t="inlineStr">
        <is>
          <t>Редакційне: текст «A customer with this email address already exists.» не звірено з demo (потрібна реєстрація з наявним email); у Примітці вже стоїть «потребує підтвердження замовником».</t>
        </is>
      </c>
      <c r="G4" s="22" t="n"/>
      <c r="H4" s="22" t="n"/>
      <c r="J4" s="27" t="inlineStr">
        <is>
          <t>очікує КТ</t>
        </is>
      </c>
      <c r="K4" s="28">
        <f>COUNTIF($E$2:$E$72,J4)</f>
        <v/>
      </c>
    </row>
    <row r="5">
      <c r="A5" s="22" t="inlineStr">
        <is>
          <t>Реєстр №4 · F-20 · Однозначність</t>
        </is>
      </c>
      <c r="B5" s="22" t="inlineStr">
        <is>
          <t>Горбонос О. (СМ), Тимчак А. (ТА)</t>
        </is>
      </c>
      <c r="C5" s="22" t="inlineStr">
        <is>
          <t>Коротка К. (КТ)</t>
        </is>
      </c>
      <c r="D5" s="22" t="inlineStr">
        <is>
          <t>1✓ 2✓ 3✓ 4✓ 5✓ 6✗ 7✓</t>
        </is>
      </c>
      <c r="E5" s="22" t="inlineStr">
        <is>
          <t>очікує КТ</t>
        </is>
      </c>
      <c r="F5" s="22" t="inlineStr">
        <is>
          <t>СМ — автор рядка, рецензує КТ (правило незалежності). Рецензія КТ (Коротка К.), 12.10.2026: варіант ТА («перенаправляє … на сторінку особистого кабінету (F-130)») суперечить F-110: після входу на кроці 2 «Sign in» покупець переходить на крок 3, а не в кабінет. Варіант СМ цю ситуацію враховує. Обрати варіант СМ і прибрати варіант ТА до SRS 1.1. Повернено ТА. Виправлено в main (PR #28) 13.10.2026: варіант ТА прибрано; очікує повторного підтвердження КТ.</t>
        </is>
      </c>
      <c r="G5" s="22" t="inlineStr">
        <is>
          <t>13.10.2026 (ТА, PR #28)</t>
        </is>
      </c>
      <c r="H5" s="22" t="n"/>
      <c r="J5" s="27" t="inlineStr">
        <is>
          <t>очікує ІТ</t>
        </is>
      </c>
      <c r="K5" s="28">
        <f>COUNTIF($E$2:$E$72,J5)</f>
        <v/>
      </c>
    </row>
    <row r="6">
      <c r="A6" s="22" t="inlineStr">
        <is>
          <t>Реєстр №5 · F-30 · Здійсненність</t>
        </is>
      </c>
      <c r="B6" s="22" t="inlineStr">
        <is>
          <t>Горбонос О. (СМ), Тимчак А. (ТА)</t>
        </is>
      </c>
      <c r="C6" s="22" t="inlineStr">
        <is>
          <t>Коротка К. (КТ)</t>
        </is>
      </c>
      <c r="D6" s="22" t="inlineStr">
        <is>
          <t>1✓ 2✓ 3✓ 4✓ 5✓ 6✓ 7✓</t>
        </is>
      </c>
      <c r="E6" s="22" t="inlineStr">
        <is>
          <t>пройшло</t>
        </is>
      </c>
      <c r="F6" s="22" t="inlineStr">
        <is>
          <t>СМ — автор рядка, рецензує КТ (правило незалежності). Рецензія КТ (Коротка К.), 12.10.2026: цитата F-30 дослівна; здійсненність — головний критерій (доставка залежить від стороннього провайдера). Редакційне: два варіанти (1 с / 5 с) — обрати один до SRS 1.1; час передачі вже позначено «потребує підтвердження замовником». Редакційну правку (вибір варіанта) внесено в main (PR #28) 13.10.2026; повторне підтвердження КТ очікується.</t>
        </is>
      </c>
      <c r="G6" s="22" t="inlineStr">
        <is>
          <t>13.10.2026 (ТА, PR #28)</t>
        </is>
      </c>
      <c r="H6" s="22" t="n"/>
      <c r="J6" s="27" t="inlineStr">
        <is>
          <t>немає незалежного рецензента</t>
        </is>
      </c>
      <c r="K6" s="28">
        <f>COUNTIF($E$2:$E$72,J6)</f>
        <v/>
      </c>
    </row>
    <row r="7">
      <c r="A7" s="22" t="inlineStr">
        <is>
          <t>Реєстр №6 · F-40 ↔ GUI-20 · Несуперечливість</t>
        </is>
      </c>
      <c r="B7" s="22" t="inlineStr">
        <is>
          <t>Горбонос О. (СМ), Коротка К. (КТ), Дрєпіна А. (ІТ), Тимчак А. (ТА)</t>
        </is>
      </c>
      <c r="C7" s="22" t="inlineStr">
        <is>
          <t>—</t>
        </is>
      </c>
      <c r="D7" s="22" t="inlineStr">
        <is>
          <t>—</t>
        </is>
      </c>
      <c r="E7" s="22" t="inlineStr">
        <is>
          <t>немає незалежного рецензента</t>
        </is>
      </c>
      <c r="F7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</t>
        </is>
      </c>
      <c r="G7" s="22" t="n"/>
      <c r="H7" s="22" t="n"/>
      <c r="J7" s="29" t="inlineStr">
        <is>
          <t>Разом</t>
        </is>
      </c>
      <c r="K7" s="28">
        <f>SUM(K2:K6)</f>
        <v/>
      </c>
    </row>
    <row r="8">
      <c r="A8" s="22" t="inlineStr">
        <is>
          <t>Реєстр №7 · F-50 · Однозначність</t>
        </is>
      </c>
      <c r="B8" s="22" t="inlineStr">
        <is>
          <t>Тимчак А. (ТА)</t>
        </is>
      </c>
      <c r="C8" s="22" t="inlineStr">
        <is>
          <t>Горбонос О. (СМ)</t>
        </is>
      </c>
      <c r="D8" s="22" t="inlineStr">
        <is>
          <t>1✓ 2✓ 3✓ 4✓ 5✓ 6✓ 7✓</t>
        </is>
      </c>
      <c r="E8" s="22" t="inlineStr">
        <is>
          <t>пройшло</t>
        </is>
      </c>
      <c r="F8" s="22" t="inlineStr">
        <is>
          <t>Звірено на demo через API: дві категорії 7+3=10 товарів (об'єднання, «АБО»); два бренди 40+10=50; категорія+бренд = 6 ≤ 7 (перетин, «І»). Виправлення відповідає поведінці demo.</t>
        </is>
      </c>
      <c r="G8" s="22" t="n"/>
      <c r="H8" s="22" t="n"/>
      <c r="J8" s="30" t="n"/>
      <c r="K8" s="31" t="n"/>
    </row>
    <row r="9">
      <c r="A9" s="22" t="inlineStr">
        <is>
          <t>Реєстр №8 · F-50 · Тестопридатність</t>
        </is>
      </c>
      <c r="B9" s="22" t="inlineStr">
        <is>
          <t>Тимчак А. (ТА)</t>
        </is>
      </c>
      <c r="C9" s="22" t="inlineStr">
        <is>
          <t>Горбонос О. (СМ)</t>
        </is>
      </c>
      <c r="D9" s="22" t="inlineStr">
        <is>
          <t>1✓ 2✓ 3✓ 4–6 н/з 7✓</t>
        </is>
      </c>
      <c r="E9" s="22" t="inlineStr">
        <is>
          <t>пройшло</t>
        </is>
      </c>
      <c r="F9" s="22" t="inlineStr">
        <is>
          <t>Рядок відхилено: рішення «відхилено після обговорення» і підпис КТ (08.10.2026) є в «Спірні». Редакційне (ТА): Примітка в «Реєстрі» містить чернетку («узгодити один критерій») — замінити посиланням на рішення «Спірні». Редакційну правку внесено в main (PR #28), перевірено 13.10.2026.</t>
        </is>
      </c>
      <c r="G9" s="22" t="inlineStr">
        <is>
          <t>13.10.2026 (ТА, PR #28)</t>
        </is>
      </c>
      <c r="H9" s="22" t="inlineStr">
        <is>
          <t>Горбонос Олександра (СМ), 13.10.2026 (main, PR #28)</t>
        </is>
      </c>
      <c r="J9" s="32" t="n"/>
      <c r="K9" s="30" t="n"/>
    </row>
    <row r="10">
      <c r="A10" s="22" t="inlineStr">
        <is>
          <t>Реєстр №9 · F-60 · Однозначність</t>
        </is>
      </c>
      <c r="B10" s="22" t="inlineStr">
        <is>
          <t>Горбонос О. (СМ), Тимчак А. (ТА)</t>
        </is>
      </c>
      <c r="C10" s="22" t="inlineStr">
        <is>
          <t>Коротка К. (КТ)</t>
        </is>
      </c>
      <c r="D10" s="22" t="inlineStr">
        <is>
          <t>1✓ 2✓ 3✓ 4✓ 5✓ 6✓ 7✓</t>
        </is>
      </c>
      <c r="E10" s="22" t="inlineStr">
        <is>
          <t>пройшло</t>
        </is>
      </c>
      <c r="F10" s="22" t="inlineStr">
        <is>
          <t>СМ — автор рядка, рецензує КТ (правило незалежності). Рецензія КТ (Коротка К.), 12.10.2026: цитата F-60 дослівна; «схожі» допускає кілька тлумачень (п. 4). Одне спільне виправлення (підрядок без урахування регістру), звірене з demo.</t>
        </is>
      </c>
      <c r="G10" s="22" t="n"/>
      <c r="H10" s="22" t="n"/>
      <c r="J10" s="31" t="n"/>
      <c r="K10" s="31" t="n"/>
    </row>
    <row r="11">
      <c r="A11" s="22" t="inlineStr">
        <is>
          <t>Реєстр №10 · F-90 · Тестопридатність</t>
        </is>
      </c>
      <c r="B11" s="22" t="inlineStr">
        <is>
          <t>Горбонос О. (СМ), Тимчак А. (ТА)</t>
        </is>
      </c>
      <c r="C11" s="22" t="inlineStr">
        <is>
          <t>Коротка К. (КТ)</t>
        </is>
      </c>
      <c r="D11" s="22" t="inlineStr">
        <is>
          <t>1✓ 2✓ 3✓ 4✓ 5✓ 6✓ 7✓</t>
        </is>
      </c>
      <c r="E11" s="22" t="inlineStr">
        <is>
          <t>пройшло</t>
        </is>
      </c>
      <c r="F11" s="22" t="inlineStr">
        <is>
          <t>СМ — автор рядка, рецензує КТ (правило незалежності). Рецензія КТ (Коротка К.), 12.10.2026: цитата F-90 дослівна; слова-маркери «миттєво», «без помилок» — тестопридатність. Редакційне: два варіанти (1 с / 2 с, різний спосіб спостереження) — обрати один до SRS 1.1; у варіанті ТА до «2 с» і тексту повідомлення додати «потребує підтвердження замовником». Редакційну правку (вибір варіанта) внесено в main (PR #28) 13.10.2026; повторне підтвердження КТ очікується.</t>
        </is>
      </c>
      <c r="G11" s="22" t="inlineStr">
        <is>
          <t>13.10.2026 (ТА, PR #28)</t>
        </is>
      </c>
      <c r="H11" s="22" t="n"/>
      <c r="J11" s="31" t="n"/>
      <c r="K11" s="31" t="n"/>
    </row>
    <row r="12">
      <c r="A12" s="22" t="inlineStr">
        <is>
          <t>Реєстр №11 · F-100 · Повнота</t>
        </is>
      </c>
      <c r="B12" s="22" t="inlineStr">
        <is>
          <t>Горбонос О. (СМ), Коротка К. (КТ), Тимчак А. (ТА)</t>
        </is>
      </c>
      <c r="C12" s="22" t="inlineStr">
        <is>
          <t>Дрєпіна А. (ІТ)</t>
        </is>
      </c>
      <c r="D12" s="22" t="inlineStr">
        <is>
          <t>1✓ 2✓ 3✓ 4✓ 5✓ 6✗ 7✓</t>
        </is>
      </c>
      <c r="E12" s="22" t="inlineStr">
        <is>
          <t>очікує ІТ</t>
        </is>
      </c>
      <c r="F12" s="22" t="inlineStr">
        <is>
          <t>Рецензія ІТ (Дрєпіна А.), 12.10.2026, звірено зі SRS 1.0: цитата F-100 дослівна («Обмеження на кількість одиниць у рядку визначає вимога BL-25.»); у розд. 5 є BL-10…BL-80 з кроком 10, BL-25 немає (п. 3 чек-листа повноти доречний); автори СМ, КТ і ТА зазначені. Два варіанти не узгоджені: КТ/ТА називають BL-10, BL-20 і BL-40; СМ — лише BL-40. Варіант КТ/ТА правильний і повний: BL-10 — qty від 1 до 99 при додаванні, BL-20 — результуюча кількість рядка не більша за 99, BL-40 — changeQty від 1 до 99. Варіант СМ неповний — п. 6 ✗: посилання лише на BL-40 лишає поза межами правила BL-10 і BL-20 (додавання та повторне додавання). Залишити варіант КТ/ТА (BL-10, BL-20 і BL-40); варіант СМ прибрати, з нього можна взяти лише слова «ціле число від 1 до 99 включно» (як у BL-10). Повернено авторам: ТА залишає в реєстрі лише варіант КТ/ТА. Виправлено в main (PR #28) 13.10.2026: лишено варіант КТ/ТА, варіант СМ прибрано; очікує повторного підтвердження ІТ (Дрєпіна А.).</t>
        </is>
      </c>
      <c r="G12" s="22" t="inlineStr">
        <is>
          <t>13.10.2026 (ТА, PR #28)</t>
        </is>
      </c>
      <c r="H12" s="22" t="n"/>
    </row>
    <row r="13">
      <c r="A13" s="22" t="inlineStr">
        <is>
          <t>Реєстр №12 · F-110 ↔ BL-60 · Несуперечливість</t>
        </is>
      </c>
      <c r="B13" s="22" t="inlineStr">
        <is>
          <t>Горбонос О. (СМ), Коротка К. (КТ), Дрєпіна А. (ІТ), Тимчак А. (ТА)</t>
        </is>
      </c>
      <c r="C13" s="22" t="inlineStr">
        <is>
          <t>—</t>
        </is>
      </c>
      <c r="D13" s="22" t="inlineStr">
        <is>
          <t>—</t>
        </is>
      </c>
      <c r="E13" s="22" t="inlineStr">
        <is>
          <t>немає незалежного рецензента</t>
        </is>
      </c>
      <c r="F13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 Рядок переписано в PR #23 (SCRUM-56).</t>
        </is>
      </c>
      <c r="G13" s="22" t="n"/>
      <c r="H13" s="22" t="n"/>
    </row>
    <row r="14">
      <c r="A14" s="22" t="inlineStr">
        <is>
          <t>Реєстр №13 · F-110 ↔ розд. 2.3, пункт 3 · Несуперечливість</t>
        </is>
      </c>
      <c r="B14" s="22" t="inlineStr">
        <is>
          <t>Тимчак А. (ТА)</t>
        </is>
      </c>
      <c r="C14" s="22" t="inlineStr">
        <is>
          <t>Горбонос О. (СМ)</t>
        </is>
      </c>
      <c r="D14" s="22" t="inlineStr">
        <is>
          <t>1✓ 2✓ 3✓ 4✓ 5✓ 6✓ 7✓</t>
        </is>
      </c>
      <c r="E14" s="22" t="inlineStr">
        <is>
          <t>пройшло</t>
        </is>
      </c>
      <c r="F14" s="22" t="inlineStr">
        <is>
          <t>На main виправлення (вилучити знижки з підсумку) суперечить рішенню SCRUM-55 («вимога нової функції») і виправленню №12. Переписано в PR #23 (SCRUM-56, відкритий, approve КТ 10.10). Повторне підтвердження — після merge. Повторно перевірено 13.10.2026: виправлення переписано за рішенням SCRUM-55 («вимога нової функції»), узгоджено з №12 і №33 (PR #23).</t>
        </is>
      </c>
      <c r="G14" s="22" t="inlineStr">
        <is>
          <t>13.10.2026 (ТА, PR #23)</t>
        </is>
      </c>
      <c r="H14" s="22" t="inlineStr">
        <is>
          <t>Горбонос Олександра (СМ), 13.10.2026 (main, PR #23)</t>
        </is>
      </c>
    </row>
    <row r="15">
      <c r="A15" s="22" t="inlineStr">
        <is>
          <t>Реєстр №14 · F-120 ↔ GUI-40 · Несуперечливість</t>
        </is>
      </c>
      <c r="B15" s="22" t="inlineStr">
        <is>
          <t>Горбонос О. (СМ), Коротка К. (КТ), Дрєпіна А. (ІТ), Тимчак А. (ТА)</t>
        </is>
      </c>
      <c r="C15" s="22" t="inlineStr">
        <is>
          <t>—</t>
        </is>
      </c>
      <c r="D15" s="22" t="inlineStr">
        <is>
          <t>—</t>
        </is>
      </c>
      <c r="E15" s="22" t="inlineStr">
        <is>
          <t>немає незалежного рецензента</t>
        </is>
      </c>
      <c r="F15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</t>
        </is>
      </c>
      <c r="G15" s="22" t="n"/>
      <c r="H15" s="22" t="n"/>
    </row>
    <row r="16">
      <c r="A16" s="22" t="inlineStr">
        <is>
          <t>Реєстр №15 · F-140 · Повнота</t>
        </is>
      </c>
      <c r="B16" s="22" t="inlineStr">
        <is>
          <t>Горбонос О. (СМ), Тимчак А. (ТА)</t>
        </is>
      </c>
      <c r="C16" s="22" t="inlineStr">
        <is>
          <t>Коротка К. (КТ)</t>
        </is>
      </c>
      <c r="D16" s="22" t="inlineStr">
        <is>
          <t>1✓ 2✓ 3✓ 4✓ 5✓ 6✓ 7✓</t>
        </is>
      </c>
      <c r="E16" s="22" t="inlineStr">
        <is>
          <t>пройшло</t>
        </is>
      </c>
      <c r="F16" s="22" t="inlineStr">
        <is>
          <t>СМ — автор рядка, рецензує КТ (правило незалежності). Рецензія КТ (Коротка К.), 12.10.2026: цитата F-140 дослівна; не задано формат, розмір вкладення і реакцію на недопустимий файл (пп. 4, 5). Редакційне: варіанти суперечать один одному (PDF/PNG/JPG/TXT до 5 МБ / .txt до 500 КБ; максимальна довжина повідомлення лише у ТА) — обрати один до SRS 1.1. Редакційну правку (вибір варіанта) внесено в main (PR #28) 13.10.2026; повторне підтвердження КТ очікується.</t>
        </is>
      </c>
      <c r="G16" s="22" t="inlineStr">
        <is>
          <t>13.10.2026 (ТА, PR #28)</t>
        </is>
      </c>
      <c r="H16" s="22" t="n"/>
    </row>
    <row r="17">
      <c r="A17" s="22" t="inlineStr">
        <is>
          <t>Реєстр №16 · GUI-10 · Повнота</t>
        </is>
      </c>
      <c r="B17" s="22" t="inlineStr">
        <is>
          <t>Коротка К. (КТ)</t>
        </is>
      </c>
      <c r="C17" s="22" t="inlineStr">
        <is>
          <t>Горбонос О. (СМ)</t>
        </is>
      </c>
      <c r="D17" s="22" t="inlineStr">
        <is>
          <t>1✓ 2✓ 3✓ 4–6 н/з 7✓</t>
        </is>
      </c>
      <c r="E17" s="22" t="inlineStr">
        <is>
          <t>пройшло</t>
        </is>
      </c>
      <c r="F17" s="22" t="inlineStr">
        <is>
          <t>Рядок відхилено; рішення (питання замовнику на демо про мови перемикача) зафіксовано в «Спірні». Редакційне (ТА): Примітка «Сумнівний…» застаріла — додати посилання на рішення. Редакційну правку внесено в main (PR #28), перевірено 13.10.2026.</t>
        </is>
      </c>
      <c r="G17" s="22" t="inlineStr">
        <is>
          <t>13.10.2026 (ТА, PR #28)</t>
        </is>
      </c>
      <c r="H17" s="22" t="inlineStr">
        <is>
          <t>Горбонос Олександра (СМ), 13.10.2026 (main, PR #28)</t>
        </is>
      </c>
    </row>
    <row r="18">
      <c r="A18" s="22" t="inlineStr">
        <is>
          <t>Реєстр №17 · GUI-30 ↔ BL-10, BL-40 · Несуперечливість</t>
        </is>
      </c>
      <c r="B18" s="22" t="inlineStr">
        <is>
          <t>Коротка К. (КТ), Дрєпіна А. (ІТ), Тимчак А. (ТА)</t>
        </is>
      </c>
      <c r="C18" s="22" t="inlineStr">
        <is>
          <t>Горбонос О. (СМ)</t>
        </is>
      </c>
      <c r="D18" s="22" t="inlineStr">
        <is>
          <t>1✓ 2✓ 3✓ 4✓ 5✓ 6✓ 7✓</t>
        </is>
      </c>
      <c r="E18" s="22" t="inlineStr">
        <is>
          <t>пройшло</t>
        </is>
      </c>
      <c r="F18" s="22" t="inlineStr">
        <is>
          <t>Цитати дослівні: GUI-30 «від 0 до 100»; BL-10 і BL-40 «від 1 до 99 включно». Три виправлення збігаються.</t>
        </is>
      </c>
      <c r="G18" s="22" t="n"/>
      <c r="H18" s="22" t="n"/>
    </row>
    <row r="19">
      <c r="A19" s="22" t="inlineStr">
        <is>
          <t>Реєстр №18 · GUI-50 · Однозначність</t>
        </is>
      </c>
      <c r="B19" s="22" t="inlineStr">
        <is>
          <t>Коротка К. (КТ), Дрєпіна А. (ІТ)</t>
        </is>
      </c>
      <c r="C19" s="22" t="inlineStr">
        <is>
          <t>Горбонос О. (СМ)</t>
        </is>
      </c>
      <c r="D19" s="22" t="inlineStr">
        <is>
          <t>1✓ 2✓ 3✓ 4✓ 5✓ 6✓ 7✓</t>
        </is>
      </c>
      <c r="E19" s="22" t="inlineStr">
        <is>
          <t>пройшло</t>
        </is>
      </c>
      <c r="F19" s="22" t="inlineStr">
        <is>
          <t>Пп. 1 і 4 однозначності названо за офіційним чек-листом; «або» дає два допустимі місця виведення — дефект підтверджено.</t>
        </is>
      </c>
      <c r="G19" s="22" t="n"/>
      <c r="H19" s="22" t="n"/>
    </row>
    <row r="20">
      <c r="A20" s="22" t="inlineStr">
        <is>
          <t>Реєстр №19 · GUI-60 (два рядки) · Простежуваність</t>
        </is>
      </c>
      <c r="B20" s="22" t="inlineStr">
        <is>
          <t>Коротка К. (КТ), Дрєпіна А. (ІТ), Тимчак А. (ТА)</t>
        </is>
      </c>
      <c r="C20" s="22" t="inlineStr">
        <is>
          <t>Горбонос О. (СМ)</t>
        </is>
      </c>
      <c r="D20" s="22" t="inlineStr">
        <is>
          <t>1✓ 2✓ 3✓ 4✓ 5✓ 6✓ 7✓</t>
        </is>
      </c>
      <c r="E20" s="22" t="inlineStr">
        <is>
          <t>пройшло</t>
        </is>
      </c>
      <c r="F20" s="22" t="inlineStr">
        <is>
          <t>Дублікат підтверджено в SRS 1.0 (два рядки GUI-60 у розд. 4). GUI-65 вільний (крок 10), решта ID не змінюється.</t>
        </is>
      </c>
      <c r="G20" s="22" t="n"/>
      <c r="H20" s="22" t="n"/>
    </row>
    <row r="21">
      <c r="A21" s="22" t="inlineStr">
        <is>
          <t>Реєстр №20 · GUI-70 · Однозначність</t>
        </is>
      </c>
      <c r="B21" s="22" t="inlineStr">
        <is>
          <t>Коротка К. (КТ)</t>
        </is>
      </c>
      <c r="C21" s="22" t="inlineStr">
        <is>
          <t>Горбонос О. (СМ)</t>
        </is>
      </c>
      <c r="D21" s="22" t="inlineStr">
        <is>
          <t>1✓ 2✓ 3✓ 4–6 н/з 7✓</t>
        </is>
      </c>
      <c r="E21" s="22" t="inlineStr">
        <is>
          <t>пройшло</t>
        </is>
      </c>
      <c r="F21" s="22" t="inlineStr">
        <is>
          <t>Рядок відхилено; рішення зафіксовано в «Спірні». Редакційне (ТА): Примітка («Сумнівний…») застаріла. Редакційну правку внесено в main (PR #28), перевірено 13.10.2026.</t>
        </is>
      </c>
      <c r="G21" s="22" t="inlineStr">
        <is>
          <t>13.10.2026 (ТА, PR #28)</t>
        </is>
      </c>
      <c r="H21" s="22" t="inlineStr">
        <is>
          <t>Горбонос Олександра (СМ), 13.10.2026 (main, PR #28)</t>
        </is>
      </c>
    </row>
    <row r="22">
      <c r="A22" s="22" t="inlineStr">
        <is>
          <t>Реєстр №21 · GUI-80 · Здійсненність</t>
        </is>
      </c>
      <c r="B22" s="22" t="inlineStr">
        <is>
          <t>Коротка К. (КТ), Дрєпіна А. (ІТ)</t>
        </is>
      </c>
      <c r="C22" s="22" t="inlineStr">
        <is>
          <t>Горбонос О. (СМ)</t>
        </is>
      </c>
      <c r="D22" s="22" t="inlineStr">
        <is>
          <t>1✓ 2✓ 3✓ 4✓ 5✓ 6✓ 7✓</t>
        </is>
      </c>
      <c r="E22" s="22" t="inlineStr">
        <is>
          <t>пройшло</t>
        </is>
      </c>
      <c r="F22" s="22" t="inlineStr">
        <is>
          <t>Розрахунок автора перевірено: 7680×4320×3 байти ≈ 99,5 МБ; за 50 мс це ≈ 16 Гбіт/с. Два виправлення суперечать одне одному (≥1200×1200 / ≤800×800) — ТА обирає один варіант до внесення в SRS 1.1 (перевіряється в рядках «SRS 1.1» нижче). Редакційну правку внесено в main (PR #28), перевірено 13.10.2026.</t>
        </is>
      </c>
      <c r="G22" s="22" t="inlineStr">
        <is>
          <t>13.10.2026 (ТА, PR #28)</t>
        </is>
      </c>
      <c r="H22" s="22" t="inlineStr">
        <is>
          <t>Горбонос Олександра (СМ), 13.10.2026 (main, PR #28)</t>
        </is>
      </c>
    </row>
    <row r="23">
      <c r="A23" s="22" t="inlineStr">
        <is>
          <t>Реєстр №22 · GUI-100 · Тестопридатність</t>
        </is>
      </c>
      <c r="B23" s="22" t="inlineStr">
        <is>
          <t>Коротка К. (КТ), Дрєпіна А. (ІТ)</t>
        </is>
      </c>
      <c r="C23" s="22" t="inlineStr">
        <is>
          <t>Горбонос О. (СМ)</t>
        </is>
      </c>
      <c r="D23" s="22" t="inlineStr">
        <is>
          <t>1✓ 2✓ 3✓ 4✓ 5✓ 6✓ 7✓</t>
        </is>
      </c>
      <c r="E23" s="22" t="inlineStr">
        <is>
          <t>пройшло</t>
        </is>
      </c>
      <c r="F23" s="22" t="inlineStr">
        <is>
          <t>GUI-100 існує в SRS (ID розбито переносом «GUI-/100»); показники вимірювані (4,5:1; 3:1; 14 px), позначка замовника є.</t>
        </is>
      </c>
      <c r="G23" s="22" t="n"/>
      <c r="H23" s="22" t="n"/>
    </row>
    <row r="24">
      <c r="A24" s="22" t="inlineStr">
        <is>
          <t>Реєстр №23 · P-10 · Здійсненність</t>
        </is>
      </c>
      <c r="B24" s="22" t="inlineStr">
        <is>
          <t>Коротка К. (КТ), Дрєпіна А. (ІТ)</t>
        </is>
      </c>
      <c r="C24" s="22" t="inlineStr">
        <is>
          <t>Горбонос О. (СМ)</t>
        </is>
      </c>
      <c r="D24" s="22" t="inlineStr">
        <is>
          <t>1✓ 2✓ 3✓ 4✓ 5✓ 6✓ 7✓</t>
        </is>
      </c>
      <c r="E24" s="22" t="inlineStr">
        <is>
          <t>пройшло</t>
        </is>
      </c>
      <c r="F24" s="22" t="inlineStr">
        <is>
          <t>P-20 дозволяє відповідь API до 1 с, тому 0,1 с для сторінки нереальні — здійсненність підтверджено. Варіанти різні (3 с / 10 Мбіт/с; 2 с / 15 Мбіт/с) — обрати один до SRS 1.1. Редакційну правку внесено в main (PR #28), перевірено 13.10.2026.</t>
        </is>
      </c>
      <c r="G24" s="22" t="inlineStr">
        <is>
          <t>13.10.2026 (ТА, PR #28)</t>
        </is>
      </c>
      <c r="H24" s="22" t="inlineStr">
        <is>
          <t>Горбонос Олександра (СМ), 13.10.2026 (main, PR #28)</t>
        </is>
      </c>
    </row>
    <row r="25">
      <c r="A25" s="22" t="inlineStr">
        <is>
          <t>Реєстр №24 · S-10 · Тестопридатність</t>
        </is>
      </c>
      <c r="B25" s="22" t="inlineStr">
        <is>
          <t>Коротка К. (КТ), Дрєпіна А. (ІТ)</t>
        </is>
      </c>
      <c r="C25" s="22" t="inlineStr">
        <is>
          <t>Горбонос О. (СМ)</t>
        </is>
      </c>
      <c r="D25" s="22" t="inlineStr">
        <is>
          <t>1✓ 2✓ 3✓ 4✓ 5✓ 6✓ 7✓</t>
        </is>
      </c>
      <c r="E25" s="22" t="inlineStr">
        <is>
          <t>пройшло</t>
        </is>
      </c>
      <c r="F25" s="22" t="inlineStr">
        <is>
          <t>Варіанти КТ і ІТ сумісні (bcrypt, HTTPS) — об'єднати до SRS 1.1. Головний критерій — тестопридатність (пояснено в Примітці), «не містить вразливостей» порушує ще й здійсненність. Редакційну правку внесено в main (PR #28), перевірено 13.10.2026.</t>
        </is>
      </c>
      <c r="G25" s="22" t="inlineStr">
        <is>
          <t>13.10.2026 (ТА, PR #28)</t>
        </is>
      </c>
      <c r="H25" s="22" t="inlineStr">
        <is>
          <t>Горбонос Олександра (СМ), 13.10.2026 (main, PR #28)</t>
        </is>
      </c>
    </row>
    <row r="26">
      <c r="A26" s="22" t="inlineStr">
        <is>
          <t>Реєстр №25 · U-10 · Тестопридатність</t>
        </is>
      </c>
      <c r="B26" s="22" t="inlineStr">
        <is>
          <t>Коротка К. (КТ), Дрєпіна А. (ІТ)</t>
        </is>
      </c>
      <c r="C26" s="22" t="inlineStr">
        <is>
          <t>Горбонос О. (СМ)</t>
        </is>
      </c>
      <c r="D26" s="22" t="inlineStr">
        <is>
          <t>1✓ 2✓ 3✓ 4✓ 5✓ 6✓ 7✓</t>
        </is>
      </c>
      <c r="E26" s="22" t="inlineStr">
        <is>
          <t>пройшло</t>
        </is>
      </c>
      <c r="F26" s="22" t="inlineStr">
        <is>
          <t>Варіанти різняться методикою (4 з 5 / 90 % з 10); план (тип 3) використовує варіант ІТ — після вибору варіанта синхронізувати. Редакційну правку внесено в main (PR #28), перевірено 13.10.2026.</t>
        </is>
      </c>
      <c r="G26" s="22" t="inlineStr">
        <is>
          <t>13.10.2026 (ТА, PR #28)</t>
        </is>
      </c>
      <c r="H26" s="22" t="inlineStr">
        <is>
          <t>Горбонос Олександра (СМ), 13.10.2026 (main, PR #28)</t>
        </is>
      </c>
    </row>
    <row r="27">
      <c r="A27" s="22" t="inlineStr">
        <is>
          <t>Реєстр №26 · розд. 6, між U-20 і D-10 (без ID) · Простежуваність</t>
        </is>
      </c>
      <c r="B27" s="22" t="inlineStr">
        <is>
          <t>Коротка К. (КТ), Дрєпіна А. (ІТ)</t>
        </is>
      </c>
      <c r="C27" s="22" t="inlineStr">
        <is>
          <t>Горбонос О. (СМ)</t>
        </is>
      </c>
      <c r="D27" s="22" t="inlineStr">
        <is>
          <t>1✓ 2✓ 3✓ 4✓ 5✓ 6✓ 7✓</t>
        </is>
      </c>
      <c r="E27" s="22" t="inlineStr">
        <is>
          <t>пройшло</t>
        </is>
      </c>
      <c r="F27" s="22" t="inlineStr">
        <is>
          <t>Локатор існує: окремий рядок розд. 6 між U-20 і D-10 без ID. U-30 вільний (U-10, U-20 → крок 10).</t>
        </is>
      </c>
      <c r="G27" s="22" t="n"/>
      <c r="H27" s="22" t="n"/>
    </row>
    <row r="28">
      <c r="A28" s="22" t="inlineStr">
        <is>
          <t>Реєстр №27 · D-10 · Повнота</t>
        </is>
      </c>
      <c r="B28" s="22" t="inlineStr">
        <is>
          <t>Коротка К. (КТ), Дрєпіна А. (ІТ)</t>
        </is>
      </c>
      <c r="C28" s="22" t="inlineStr">
        <is>
          <t>Горбонос О. (СМ)</t>
        </is>
      </c>
      <c r="D28" s="22" t="inlineStr">
        <is>
          <t>1✓ 2✓ 3✓ 4✓ 5✓ 6✓ 7✓</t>
        </is>
      </c>
      <c r="E28" s="22" t="inlineStr">
        <is>
          <t>пройшло</t>
        </is>
      </c>
      <c r="F28" s="22" t="inlineStr">
        <is>
          <t>«Регламент … ШопЛайн-ЛП-2025» у 1.4 «Посилання» відсутній (4 пункти) — підтверджено.</t>
        </is>
      </c>
      <c r="G28" s="22" t="n"/>
      <c r="H28" s="22" t="n"/>
    </row>
    <row r="29">
      <c r="A29" s="22" t="inlineStr">
        <is>
          <t>Реєстр №28 · BL-10 · Однозначність</t>
        </is>
      </c>
      <c r="B29" s="22" t="inlineStr">
        <is>
          <t>Дрєпіна А. (ІТ)</t>
        </is>
      </c>
      <c r="C29" s="22" t="inlineStr">
        <is>
          <t>Горбонос О. (СМ)</t>
        </is>
      </c>
      <c r="D29" s="22" t="inlineStr">
        <is>
          <t>1✓ 2✓ 3✓ 4✓ 5✓ 6✓ 7✓</t>
        </is>
      </c>
      <c r="E29" s="22" t="inlineStr">
        <is>
          <t>пройшло</t>
        </is>
      </c>
      <c r="F29" s="22" t="inlineStr">
        <is>
          <t>Редакційне: «unitPrice &gt; 0» в описі — скорочення автора в лапках, не цитата SRS (решта цитат дослівні). Виправлення №28 і №29 правлять одне речення BL-10 — у SRS 1.1 вносити одним записом, щоб не втратити «name». Редакційну правку внесено в main (PR #28), перевірено 13.10.2026.</t>
        </is>
      </c>
      <c r="G29" s="22" t="inlineStr">
        <is>
          <t>13.10.2026 (ТА, PR #28)</t>
        </is>
      </c>
      <c r="H29" s="22" t="inlineStr">
        <is>
          <t>Горбонос Олександра (СМ), 13.10.2026 (main, PR #28)</t>
        </is>
      </c>
    </row>
    <row r="30">
      <c r="A30" s="22" t="inlineStr">
        <is>
          <t>Реєстр №29 · BL-10 · Повнота</t>
        </is>
      </c>
      <c r="B30" s="22" t="inlineStr">
        <is>
          <t>Тимчак А. (ТА)</t>
        </is>
      </c>
      <c r="C30" s="22" t="inlineStr">
        <is>
          <t>Горбонос О. (СМ)</t>
        </is>
      </c>
      <c r="D30" s="22" t="inlineStr">
        <is>
          <t>1✓ 2✓ 3✓ 4✓ 5✓ 6✓ 7✓</t>
        </is>
      </c>
      <c r="E30" s="22" t="inlineStr">
        <is>
          <t>пройшло</t>
        </is>
      </c>
      <c r="F30" s="22" t="inlineStr">
        <is>
          <t>Редакційне: правило «name — непорожній рядок» є новою вимогою — додати в Примітку «потребує підтвердження замовником». Редакційну правку внесено в main (PR #28), перевірено 13.10.2026.</t>
        </is>
      </c>
      <c r="G30" s="22" t="inlineStr">
        <is>
          <t>13.10.2026 (ТА, PR #28)</t>
        </is>
      </c>
      <c r="H30" s="22" t="inlineStr">
        <is>
          <t>Горбонос Олександра (СМ), 13.10.2026 (main, PR #28)</t>
        </is>
      </c>
    </row>
    <row r="31">
      <c r="A31" s="22" t="inlineStr">
        <is>
          <t>Реєстр №30 · BL-30 ↔ BL-20 · Простежуваність</t>
        </is>
      </c>
      <c r="B31" s="22" t="inlineStr">
        <is>
          <t>Коротка К. (КТ), Дрєпіна А. (ІТ), Тимчак А. (ТА)</t>
        </is>
      </c>
      <c r="C31" s="22" t="inlineStr">
        <is>
          <t>Горбонос О. (СМ)</t>
        </is>
      </c>
      <c r="D31" s="22" t="inlineStr">
        <is>
          <t>1✓ 2✓ 3✓ 4✓ 5✓ 6✓ 7✓</t>
        </is>
      </c>
      <c r="E31" s="22" t="inlineStr">
        <is>
          <t>пройшло</t>
        </is>
      </c>
      <c r="F31" s="22" t="inlineStr">
        <is>
          <t>BL-30 за змістом повторює BL-20 (BL-20 повніше: ліміт 99); вилучення BL-30 без перевикористання номера відповідає п. 1 простежуваності.</t>
        </is>
      </c>
      <c r="G31" s="22" t="n"/>
      <c r="H31" s="22" t="n"/>
    </row>
    <row r="32">
      <c r="A32" s="22" t="inlineStr">
        <is>
          <t>Реєстр №31 · BL-40 · Простежуваність</t>
        </is>
      </c>
      <c r="B32" s="22" t="inlineStr">
        <is>
          <t>Тимчак А. (ТА)</t>
        </is>
      </c>
      <c r="C32" s="22" t="inlineStr">
        <is>
          <t>Горбонос О. (СМ)</t>
        </is>
      </c>
      <c r="D32" s="22" t="inlineStr">
        <is>
          <t>1✓ 2✓ 3✓ 4–6 н/з 7✓</t>
        </is>
      </c>
      <c r="E32" s="22" t="inlineStr">
        <is>
          <t>пройшло</t>
        </is>
      </c>
      <c r="F32" s="22" t="inlineStr">
        <is>
          <t>Рядок відхилено; рішення зафіксовано в «Спірні». Редакційне (ТА): Примітка застаріла — додати посилання на рішення. Редакційну правку внесено в main (PR #28), перевірено 13.10.2026.</t>
        </is>
      </c>
      <c r="G32" s="22" t="inlineStr">
        <is>
          <t>13.10.2026 (ТА, PR #28)</t>
        </is>
      </c>
      <c r="H32" s="22" t="inlineStr">
        <is>
          <t>Горбонос Олександра (СМ), 13.10.2026 (main, PR #28)</t>
        </is>
      </c>
    </row>
    <row r="33">
      <c r="A33" s="22" t="inlineStr">
        <is>
          <t>Реєстр №32 · BL-50 · Однозначність</t>
        </is>
      </c>
      <c r="B33" s="22" t="inlineStr">
        <is>
          <t>Тимчак А. (ТА)</t>
        </is>
      </c>
      <c r="C33" s="22" t="inlineStr">
        <is>
          <t>Горбонос О. (СМ)</t>
        </is>
      </c>
      <c r="D33" s="22" t="inlineStr">
        <is>
          <t>1✓ 2✓ 3✓ 4–6 н/з 7✓</t>
        </is>
      </c>
      <c r="E33" s="22" t="inlineStr">
        <is>
          <t>пройшло</t>
        </is>
      </c>
      <c r="F33" s="22" t="inlineStr">
        <is>
          <t>Рядок відхилено; рішення (US-06) зафіксовано в «Спірні». Редакційне (ТА): Примітка порожня — додати посилання на рішення. Редакційну правку внесено в main (PR #28), перевірено 13.10.2026.</t>
        </is>
      </c>
      <c r="G33" s="22" t="inlineStr">
        <is>
          <t>13.10.2026 (ТА, PR #28)</t>
        </is>
      </c>
      <c r="H33" s="22" t="inlineStr">
        <is>
          <t>Горбонос Олександра (СМ), 13.10.2026 (main, PR #28)</t>
        </is>
      </c>
    </row>
    <row r="34">
      <c r="A34" s="22" t="inlineStr">
        <is>
          <t>Реєстр №33 · BL-60 · Однозначність</t>
        </is>
      </c>
      <c r="B34" s="22" t="inlineStr">
        <is>
          <t>Тимчак А. (ТА)</t>
        </is>
      </c>
      <c r="C34" s="22" t="inlineStr">
        <is>
          <t>Горбонос О. (СМ)</t>
        </is>
      </c>
      <c r="D34" s="22" t="inlineStr">
        <is>
          <t>1✓ 2✓ 3✓ 4✓ 5✓ 6✓ 7✓</t>
        </is>
      </c>
      <c r="E34" s="22" t="inlineStr">
        <is>
          <t>пройшло</t>
        </is>
      </c>
      <c r="F34" s="22" t="inlineStr">
        <is>
          <t>База порогу збігається з рішенням SCRUM-55 і виправленням №12 (PR #23): subtotal − знижка за обсяг − знижка за промокодом, межа «не менша за».</t>
        </is>
      </c>
      <c r="G34" s="22" t="n"/>
      <c r="H34" s="22" t="n"/>
    </row>
    <row r="35">
      <c r="A35" s="22" t="inlineStr">
        <is>
          <t>Реєстр №34 · BL-70 · Тестопридатність</t>
        </is>
      </c>
      <c r="B35" s="22" t="inlineStr">
        <is>
          <t>Тимчак А. (ТА)</t>
        </is>
      </c>
      <c r="C35" s="22" t="inlineStr">
        <is>
          <t>Горбонос О. (СМ)</t>
        </is>
      </c>
      <c r="D35" s="22" t="inlineStr">
        <is>
          <t>1✓ 2✓ 3✓ 4✓ 5✓ 6✓ 7✓</t>
        </is>
      </c>
      <c r="E35" s="22" t="inlineStr">
        <is>
          <t>пройшло</t>
        </is>
      </c>
      <c r="F35" s="22" t="inlineStr">
        <is>
          <t>На main виправлення вводить NOT_FOUND (у SRS немає реєстру кодів) і INVALID_VALUE без позначки замовника — нова поведінка (рішення SCRUM-55). Переписано в PR #23. Зауваження СМ до PR: у INVALID_AMOUNT замінити «допустиму межу за BL-70» на «subtotal мінус знижка за обсяг (BL-50)». Повторно перевірено 13.10.2026: NOT_FOUND прибрано, по одній причині на умову, межа INVALID_AMOUNT = subtotal мінус знижка за обсяг (BL-50) (PR #23, коміт 6364e96).</t>
        </is>
      </c>
      <c r="G35" s="22" t="inlineStr">
        <is>
          <t>13.10.2026 (ТА, PR #23)</t>
        </is>
      </c>
      <c r="H35" s="22" t="inlineStr">
        <is>
          <t>Горбонос Олександра (СМ), 13.10.2026 (main, PR #23)</t>
        </is>
      </c>
    </row>
    <row r="36">
      <c r="A36" s="22" t="inlineStr">
        <is>
          <t>Реєстр №35 · BL-80 · Здійсненність</t>
        </is>
      </c>
      <c r="B36" s="22" t="inlineStr">
        <is>
          <t>Дрєпіна А. (ІТ), Тимчак А. (ТА)</t>
        </is>
      </c>
      <c r="C36" s="22" t="inlineStr">
        <is>
          <t>Горбонос О. (СМ)</t>
        </is>
      </c>
      <c r="D36" s="22" t="inlineStr">
        <is>
          <t>1✓ 2✓ 3✓ 4✓ 5✓ 6✓ 7✓</t>
        </is>
      </c>
      <c r="E36" s="22" t="inlineStr">
        <is>
          <t>пройшло</t>
        </is>
      </c>
      <c r="F36" s="22" t="inlineStr">
        <is>
          <t>Редакційне: виправлення звужує правило замовника (перевірка лише в межах ШопЛайн) — додати «потребує підтвердження замовником». Редакційну правку внесено в main (PR #28), перевірено 13.10.2026.</t>
        </is>
      </c>
      <c r="G36" s="22" t="inlineStr">
        <is>
          <t>13.10.2026 (ТА, PR #28)</t>
        </is>
      </c>
      <c r="H36" s="22" t="inlineStr">
        <is>
          <t>Горбонос Олександра (СМ), 13.10.2026 (main, PR #28)</t>
        </is>
      </c>
    </row>
    <row r="37">
      <c r="A37" s="22" t="inlineStr">
        <is>
          <t>Реєстр №36 · BL-70, BL-80 (немає вимоги) · Повнота</t>
        </is>
      </c>
      <c r="B37" s="22" t="inlineStr">
        <is>
          <t>Тимчак А. (ТА)</t>
        </is>
      </c>
      <c r="C37" s="22" t="inlineStr">
        <is>
          <t>Горбонос О. (СМ)</t>
        </is>
      </c>
      <c r="D37" s="22" t="inlineStr">
        <is>
          <t>1✓ 2✓ 3✓ 4✓ 5✓ 6✓ 7✓</t>
        </is>
      </c>
      <c r="E37" s="22" t="inlineStr">
        <is>
          <t>пройшло</t>
        </is>
      </c>
      <c r="F37" s="22" t="inlineStr">
        <is>
          <t>На main BL-90 додає вартість доставки (поза BL-60) і бізнес-правило обрізання без позначки замовника (рішення SCRUM-55). Переписано в PR #23 (обмеження в BL-70). Зауваження СМ до PR: у Примітці вказати, що варіант обрала ТА з двох, дозволених рішенням команди. Повторно перевірено 13.10.2026: обмеження в BL-70, BL-90 не додано; Примітка фіксує вибір ТА з двох дозволених варіантів (PR #23, коміт 6364e96).</t>
        </is>
      </c>
      <c r="G37" s="22" t="inlineStr">
        <is>
          <t>13.10.2026 (ТА, PR #23)</t>
        </is>
      </c>
      <c r="H37" s="22" t="inlineStr">
        <is>
          <t>Горбонос Олександра (СМ), 13.10.2026 (main, PR #23)</t>
        </is>
      </c>
    </row>
    <row r="38">
      <c r="A38" s="22" t="inlineStr">
        <is>
          <t>План · рівень 1. Модульне (Unit)</t>
        </is>
      </c>
      <c r="B38" s="22" t="inlineStr">
        <is>
          <t>Дрєпіна А. (ІТ)</t>
        </is>
      </c>
      <c r="C38" s="22" t="inlineStr">
        <is>
          <t>Горбонос О. (СМ)</t>
        </is>
      </c>
      <c r="D38" s="22" t="inlineStr">
        <is>
          <t>1✓ 2✓ 3✓ 4✓ 5✓</t>
        </is>
      </c>
      <c r="E38" s="22" t="inlineStr">
        <is>
          <t>пройшло</t>
        </is>
      </c>
      <c r="F38" s="22" t="inlineStr">
        <is>
          <t>Межі qty 0/1/99/100 відповідають BL-10/BL-40; пороги BL-50 (1999.99 … 10000.00) — зі SRS.</t>
        </is>
      </c>
      <c r="G38" s="22" t="n"/>
      <c r="H38" s="22" t="n"/>
    </row>
    <row r="39">
      <c r="A39" s="22" t="inlineStr">
        <is>
          <t>План · рівень 2. Інтеграційне</t>
        </is>
      </c>
      <c r="B39" s="22" t="inlineStr">
        <is>
          <t>Дрєпіна А. (ІТ)</t>
        </is>
      </c>
      <c r="C39" s="22" t="inlineStr">
        <is>
          <t>Горбонос О. (СМ)</t>
        </is>
      </c>
      <c r="D39" s="22" t="inlineStr">
        <is>
          <t>1✓ 2✓ 3✓ 4✓ 5✓</t>
        </is>
      </c>
      <c r="E39" s="22" t="inlineStr">
        <is>
          <t>пройшло</t>
        </is>
      </c>
      <c r="F39" s="22" t="inlineStr">
        <is>
          <t>Редакційне: джерело кодів 200/422 не випливає зі SRS — вказати (валідація Laravel на demo) або прибрати.</t>
        </is>
      </c>
      <c r="G39" s="22" t="n"/>
      <c r="H39" s="22" t="n"/>
    </row>
    <row r="40">
      <c r="A40" s="22" t="inlineStr">
        <is>
          <t>План · рівень 3. Димове (Smoke)</t>
        </is>
      </c>
      <c r="B40" s="22" t="inlineStr">
        <is>
          <t>Дрєпіна А. (ІТ)</t>
        </is>
      </c>
      <c r="C40" s="22" t="inlineStr">
        <is>
          <t>Горбонос О. (СМ)</t>
        </is>
      </c>
      <c r="D40" s="22" t="inlineStr">
        <is>
          <t>1✗ 2✓ 3✓ 4✓ 5✓</t>
        </is>
      </c>
      <c r="E40" s="22" t="inlineStr">
        <is>
          <t>пройшло</t>
        </is>
      </c>
      <c r="F40" s="22" t="inlineStr">
        <is>
          <t>Ціль загальна («основні критичні функції») — не називає об'єкт і ризик ШопЛайн (напр., недоступний чекаут блокує всі подальші перевірки). Опис і дані конкретні. Повторно перевірено у PR #27: виправлено.</t>
        </is>
      </c>
      <c r="G40" s="22" t="inlineStr">
        <is>
          <t>12.10.2026 (ІТ, PR #27, коміт cb56049)</t>
        </is>
      </c>
      <c r="H40" s="22" t="inlineStr">
        <is>
          <t>Горбонос Олександра (СМ), 12.10.2026 (PR #27, коміт cb56049; змерджено в main, ed81b44)</t>
        </is>
      </c>
    </row>
    <row r="41">
      <c r="A41" s="22" t="inlineStr">
        <is>
          <t>План · рівень 4. Системне</t>
        </is>
      </c>
      <c r="B41" s="22" t="inlineStr">
        <is>
          <t>Дрєпіна А. (ІТ)</t>
        </is>
      </c>
      <c r="C41" s="22" t="inlineStr">
        <is>
          <t>Горбонос О. (СМ)</t>
        </is>
      </c>
      <c r="D41" s="22" t="inlineStr">
        <is>
          <t>1✗ 2✓ 3✗ 4✓ 5✓</t>
        </is>
      </c>
      <c r="E41" s="22" t="inlineStr">
        <is>
          <t>пройшло</t>
        </is>
      </c>
      <c r="F41" s="22" t="inlineStr">
        <is>
          <t>Ціль загальна; у «Інструменти / Дані» немає даних (обліковий запис, товари, промокод) — додати. Повторно перевірено у PR #27: виправлено.</t>
        </is>
      </c>
      <c r="G41" s="22" t="inlineStr">
        <is>
          <t>12.10.2026 (ІТ, PR #27, коміт cb56049)</t>
        </is>
      </c>
      <c r="H41" s="22" t="inlineStr">
        <is>
          <t>Горбонос Олександра (СМ), 12.10.2026 (PR #27, коміт cb56049; змерджено в main, ed81b44)</t>
        </is>
      </c>
    </row>
    <row r="42">
      <c r="A42" s="22" t="inlineStr">
        <is>
          <t>План · рівень 5. Альфа-тестування</t>
        </is>
      </c>
      <c r="B42" s="22" t="inlineStr">
        <is>
          <t>Дрєпіна А. (ІТ)</t>
        </is>
      </c>
      <c r="C42" s="22" t="inlineStr">
        <is>
          <t>Горбонос О. (СМ)</t>
        </is>
      </c>
      <c r="D42" s="22" t="inlineStr">
        <is>
          <t>1✓ 2✓ 3✓ 4✓ 5✓</t>
        </is>
      </c>
      <c r="E42" s="22" t="inlineStr">
        <is>
          <t>пройшло</t>
        </is>
      </c>
      <c r="F42" s="22" t="inlineStr">
        <is>
          <t>На demo не виконується — позначено. Редакційне: пріоритет Medium не названо в 2.1 — додати.</t>
        </is>
      </c>
      <c r="G42" s="22" t="n"/>
      <c r="H42" s="22" t="n"/>
    </row>
    <row r="43">
      <c r="A43" s="22" t="inlineStr">
        <is>
          <t>План · рівень 6. Бета-тестування</t>
        </is>
      </c>
      <c r="B43" s="22" t="inlineStr">
        <is>
          <t>Дрєпіна А. (ІТ)</t>
        </is>
      </c>
      <c r="C43" s="22" t="inlineStr">
        <is>
          <t>Горбонос О. (СМ)</t>
        </is>
      </c>
      <c r="D43" s="22" t="inlineStr">
        <is>
          <t>1✗ 2✓ 3✓ 4✓ 5✓</t>
        </is>
      </c>
      <c r="E43" s="22" t="inlineStr">
        <is>
          <t>пройшло</t>
        </is>
      </c>
      <c r="F43" s="22" t="inlineStr">
        <is>
          <t>Ціль загальна (годиться для будь-якого продукту) — назвати об'єкт і ризик ШопЛайн. Опис конкретний, обмеження demo позначено. Повторно перевірено у PR #27: виправлено.</t>
        </is>
      </c>
      <c r="G43" s="22" t="inlineStr">
        <is>
          <t>12.10.2026 (ІТ, PR #27, коміт cb56049)</t>
        </is>
      </c>
      <c r="H43" s="22" t="inlineStr">
        <is>
          <t>Горбонос Олександра (СМ), 12.10.2026 (PR #27, коміт cb56049; змерджено в main, ed81b44)</t>
        </is>
      </c>
    </row>
    <row r="44">
      <c r="A44" s="22" t="inlineStr">
        <is>
          <t>План · рівень 7. Приймальне замовником (UAT)</t>
        </is>
      </c>
      <c r="B44" s="22" t="inlineStr">
        <is>
          <t>Дрєпіна А. (ІТ)</t>
        </is>
      </c>
      <c r="C44" s="22" t="inlineStr">
        <is>
          <t>Горбонос О. (СМ)</t>
        </is>
      </c>
      <c r="D44" s="22" t="inlineStr">
        <is>
          <t>1✓ 2✓ 3✓ 4✓ 5✓</t>
        </is>
      </c>
      <c r="E44" s="22" t="inlineStr">
        <is>
          <t>пройшло</t>
        </is>
      </c>
      <c r="F44" s="22" t="inlineStr">
        <is>
          <t>Ціль називає замовника; на demo не виконується — позначено.</t>
        </is>
      </c>
      <c r="G44" s="22" t="n"/>
      <c r="H44" s="22" t="n"/>
    </row>
    <row r="45">
      <c r="A45" s="22" t="inlineStr">
        <is>
          <t>План · тип 1 · Функціональне</t>
        </is>
      </c>
      <c r="B45" s="22" t="inlineStr">
        <is>
          <t>Дрєпіна А. (ІТ)</t>
        </is>
      </c>
      <c r="C45" s="22" t="inlineStr">
        <is>
          <t>Горбонос О. (СМ)</t>
        </is>
      </c>
      <c r="D45" s="22" t="inlineStr">
        <is>
          <t>1✓ 2✓ 3✓ 4✓ 5✓</t>
        </is>
      </c>
      <c r="E45" s="22" t="inlineStr">
        <is>
          <t>пройшло</t>
        </is>
      </c>
      <c r="F45" s="22" t="inlineStr">
        <is>
          <t>Combination Pliers є на demo (перевірено через API 12.10.2026); критерій успіху названо.</t>
        </is>
      </c>
      <c r="G45" s="22" t="n"/>
      <c r="H45" s="22" t="n"/>
    </row>
    <row r="46">
      <c r="A46" s="22" t="inlineStr">
        <is>
          <t>План · тип 2 · Графічного інтерфейсу (GUI)</t>
        </is>
      </c>
      <c r="B46" s="22" t="inlineStr">
        <is>
          <t>Дрєпіна А. (ІТ)</t>
        </is>
      </c>
      <c r="C46" s="22" t="inlineStr">
        <is>
          <t>Горбонос О. (СМ)</t>
        </is>
      </c>
      <c r="D46" s="22" t="inlineStr">
        <is>
          <t>1✓ 2✓ 3✓ 4✓ 5✓</t>
        </is>
      </c>
      <c r="E46" s="22" t="inlineStr">
        <is>
          <t>пройшло</t>
        </is>
      </c>
      <c r="F46" s="22" t="inlineStr">
        <is>
          <t>Значення «9 карток» і «1–99» узято з виправлень №6 і №17 (у SRS 1.0: 12 карток, 0–100); SRS 1.1 ще немає — перевірити після випуску.</t>
        </is>
      </c>
      <c r="G46" s="22" t="n"/>
      <c r="H46" s="22" t="n"/>
    </row>
    <row r="47">
      <c r="A47" s="22" t="inlineStr">
        <is>
          <t>План · тип 3 · Юзабіліті</t>
        </is>
      </c>
      <c r="B47" s="22" t="inlineStr">
        <is>
          <t>Дрєпіна А. (ІТ)</t>
        </is>
      </c>
      <c r="C47" s="22" t="inlineStr">
        <is>
          <t>Горбонос О. (СМ)</t>
        </is>
      </c>
      <c r="D47" s="22" t="inlineStr">
        <is>
          <t>1✓ 2✗ 3✓ 4✓ 5✓</t>
        </is>
      </c>
      <c r="E47" s="22" t="inlineStr">
        <is>
          <t>пройшло</t>
        </is>
      </c>
      <c r="F47" s="22" t="inlineStr">
        <is>
          <t>Невиконуваний/суперечливий опис: пошук «Hammer» «через фільтр брендів» (Hammer — товар, не бренд); вибірка 10 учасників «на етапі UAT/альфа», а в Інструментах — «на Toolshop»; не вказано, де виконується. Вибірка 10 залежить від вибору варіанта U-10 у №25 (КТ: 5 учасників). Повторно перевірено у PR #27: виправлено.</t>
        </is>
      </c>
      <c r="G47" s="22" t="inlineStr">
        <is>
          <t>12.10.2026 (ІТ, PR #27, коміт cb56049)</t>
        </is>
      </c>
      <c r="H47" s="22" t="inlineStr">
        <is>
          <t>Горбонос Олександра (СМ), 12.10.2026 (PR #27, коміт cb56049; змерджено в main, ed81b44)</t>
        </is>
      </c>
    </row>
    <row r="48">
      <c r="A48" s="22" t="inlineStr">
        <is>
          <t>План · тип 4 · Захищеності</t>
        </is>
      </c>
      <c r="B48" s="22" t="inlineStr">
        <is>
          <t>Дрєпіна А. (ІТ)</t>
        </is>
      </c>
      <c r="C48" s="22" t="inlineStr">
        <is>
          <t>Горбонос О. (СМ)</t>
        </is>
      </c>
      <c r="D48" s="22" t="inlineStr">
        <is>
          <t>1✓ 2✓ 3✓ 4✓ 5✓</t>
        </is>
      </c>
      <c r="E48" s="22" t="inlineStr">
        <is>
          <t>пройшло</t>
        </is>
      </c>
      <c r="F48" s="22" t="inlineStr">
        <is>
          <t>Редирект /account → /auth/login для гостя підтверджено на demo (12.10.2026); обмеження demo і позначки замовника є. Редакційне: S-20 вимагає також недоступності кроків 3–4 для гостя — додати крок.</t>
        </is>
      </c>
      <c r="G48" s="22" t="n"/>
      <c r="H48" s="22" t="n"/>
    </row>
    <row r="49">
      <c r="A49" s="22" t="inlineStr">
        <is>
          <t>План · тип 5 · Потоків даних</t>
        </is>
      </c>
      <c r="B49" s="22" t="inlineStr">
        <is>
          <t>Дрєпіна А. (ІТ)</t>
        </is>
      </c>
      <c r="C49" s="22" t="inlineStr">
        <is>
          <t>Горбонос О. (СМ)</t>
        </is>
      </c>
      <c r="D49" s="22" t="inlineStr">
        <is>
          <t>1✓ 2✓ 3✓ 4✓ 5✓</t>
        </is>
      </c>
      <c r="E49" s="22" t="inlineStr">
        <is>
          <t>пройшло</t>
        </is>
      </c>
      <c r="F49" s="22" t="inlineStr">
        <is>
          <t>Редакційне: у критерії «≥ 1500 грн» немає позначки — рішення SCRUM-55 вимагає її для бази, порогу й межі.</t>
        </is>
      </c>
      <c r="G49" s="22" t="n"/>
      <c r="H49" s="22" t="n"/>
    </row>
    <row r="50">
      <c r="A50" s="22" t="inlineStr">
        <is>
          <t>План · тип 6 · Інтерфейсів (програмних)</t>
        </is>
      </c>
      <c r="B50" s="22" t="inlineStr">
        <is>
          <t>Дрєпіна А. (ІТ)</t>
        </is>
      </c>
      <c r="C50" s="22" t="inlineStr">
        <is>
          <t>Горбонос О. (СМ)</t>
        </is>
      </c>
      <c r="D50" s="22" t="inlineStr">
        <is>
          <t>1✓ 2✓ 3✓ 4✓ 5✓</t>
        </is>
      </c>
      <c r="E50" s="22" t="inlineStr">
        <is>
          <t>пройшло</t>
        </is>
      </c>
      <c r="F50" s="22" t="inlineStr">
        <is>
          <t>Перевірено на API demo: GET /products (поля id, name, price, in_stock), GET /categories — відповідають опису; POST /users/login не надсилала (потрібні облікові дані). Обмеження щодо HTTP 500 позначено.</t>
        </is>
      </c>
      <c r="G50" s="22" t="n"/>
      <c r="H50" s="22" t="n"/>
    </row>
    <row r="51">
      <c r="A51" s="22" t="inlineStr">
        <is>
          <t>План · тип 7 · Інсталяційне</t>
        </is>
      </c>
      <c r="B51" s="22" t="inlineStr">
        <is>
          <t>Дрєпіна А. (ІТ)</t>
        </is>
      </c>
      <c r="C51" s="22" t="inlineStr">
        <is>
          <t>Горбонос О. (СМ)</t>
        </is>
      </c>
      <c r="D51" s="22" t="inlineStr">
        <is>
          <t>1✓ 2✓ 3✓ 4✓ 5✓</t>
        </is>
      </c>
      <c r="E51" s="22" t="inlineStr">
        <is>
          <t>пройшло</t>
        </is>
      </c>
      <c r="F51" s="22" t="inlineStr">
        <is>
          <t>Незастосовність пояснено природою продукту (вебзастосунок, дистрибутива немає).</t>
        </is>
      </c>
      <c r="G51" s="22" t="n"/>
      <c r="H51" s="22" t="n"/>
    </row>
    <row r="52">
      <c r="A52" s="22" t="inlineStr">
        <is>
          <t>План · тип 8 · Конфігураційне</t>
        </is>
      </c>
      <c r="B52" s="22" t="inlineStr">
        <is>
          <t>Дрєпіна А. (ІТ)</t>
        </is>
      </c>
      <c r="C52" s="22" t="inlineStr">
        <is>
          <t>Горбонос О. (СМ)</t>
        </is>
      </c>
      <c r="D52" s="22" t="inlineStr">
        <is>
          <t>1✓ 2✓ 3✓ 4✓ 5✓</t>
        </is>
      </c>
      <c r="E52" s="22" t="inlineStr">
        <is>
          <t>пройшло</t>
        </is>
      </c>
      <c r="F52" s="22" t="inlineStr">
        <is>
          <t>Редакційне: «U-30» — запропонований ID (реєстр №26), у SRS 1.0 його немає; залежить від рішення №1 (2.2 ↔ розд. 6) — позначити.</t>
        </is>
      </c>
      <c r="G52" s="22" t="n"/>
      <c r="H52" s="22" t="n"/>
    </row>
    <row r="53">
      <c r="A53" s="22" t="inlineStr">
        <is>
          <t>План · тип 9 · Об'ємне</t>
        </is>
      </c>
      <c r="B53" s="22" t="inlineStr">
        <is>
          <t>Дрєпіна А. (ІТ)</t>
        </is>
      </c>
      <c r="C53" s="22" t="inlineStr">
        <is>
          <t>Горбонос О. (СМ)</t>
        </is>
      </c>
      <c r="D53" s="22" t="inlineStr">
        <is>
          <t>1✓ 2✓ 3✓ 4✓ 5✓</t>
        </is>
      </c>
      <c r="E53" s="22" t="inlineStr">
        <is>
          <t>пройшло</t>
        </is>
      </c>
      <c r="F53" s="22" t="inlineStr">
        <is>
          <t>Обмеження demo (52 товари, 6 сторінок, по 9) позначено й відповідає перевірці на demo.</t>
        </is>
      </c>
      <c r="G53" s="22" t="n"/>
      <c r="H53" s="22" t="n"/>
    </row>
    <row r="54">
      <c r="A54" s="22" t="inlineStr">
        <is>
          <t>План · тип 10 · Надійності</t>
        </is>
      </c>
      <c r="B54" s="22" t="inlineStr">
        <is>
          <t>Дрєпіна А. (ІТ)</t>
        </is>
      </c>
      <c r="C54" s="22" t="inlineStr">
        <is>
          <t>Горбонос О. (СМ)</t>
        </is>
      </c>
      <c r="D54" s="22" t="inlineStr">
        <is>
          <t>1✓ 2✓ 3✓ 4✓ 5✓</t>
        </is>
      </c>
      <c r="E54" s="22" t="inlineStr">
        <is>
          <t>пройшло</t>
        </is>
      </c>
      <c r="F54" s="22" t="inlineStr">
        <is>
          <t>Сценарій 30 хв, 6 сторінок, ≥ 5 операцій, критерій успіху названо.</t>
        </is>
      </c>
      <c r="G54" s="22" t="n"/>
      <c r="H54" s="22" t="n"/>
    </row>
    <row r="55">
      <c r="A55" s="22" t="inlineStr">
        <is>
          <t>План · тип 11 · Доступності (Availability)</t>
        </is>
      </c>
      <c r="B55" s="22" t="inlineStr">
        <is>
          <t>Дрєпіна А. (ІТ)</t>
        </is>
      </c>
      <c r="C55" s="22" t="inlineStr">
        <is>
          <t>Горбонос О. (СМ)</t>
        </is>
      </c>
      <c r="D55" s="22" t="inlineStr">
        <is>
          <t>1✓ 2✓ 3✓ 4✓ 5✓</t>
        </is>
      </c>
      <c r="E55" s="22" t="inlineStr">
        <is>
          <t>пройшло</t>
        </is>
      </c>
      <c r="F55" s="22" t="inlineStr">
        <is>
          <t>Незастосовність пояснено (один склад у Житомирі, вимог 99.99 % немає).</t>
        </is>
      </c>
      <c r="G55" s="22" t="n"/>
      <c r="H55" s="22" t="n"/>
    </row>
    <row r="56">
      <c r="A56" s="22" t="inlineStr">
        <is>
          <t>План · тип 12 · Відновлення (Recovery)</t>
        </is>
      </c>
      <c r="B56" s="22" t="inlineStr">
        <is>
          <t>Дрєпіна А. (ІТ)</t>
        </is>
      </c>
      <c r="C56" s="22" t="inlineStr">
        <is>
          <t>Горбонос О. (СМ)</t>
        </is>
      </c>
      <c r="D56" s="22" t="inlineStr">
        <is>
          <t>1✗ 2✓ 3✓ 4✓ 5✓</t>
        </is>
      </c>
      <c r="E56" s="22" t="inlineStr">
        <is>
          <t>пройшло</t>
        </is>
      </c>
      <c r="F56" s="22" t="inlineStr">
        <is>
          <t>Ціль обіцяє збереження «введених даних чекауту», а Опис і критерій перевіряють лише кошик — або додати перевірку чекауту, або прибрати з Цілі. Повторно перевірено у PR #27: виправлено.</t>
        </is>
      </c>
      <c r="G56" s="22" t="inlineStr">
        <is>
          <t>12.10.2026 (ІТ, PR #27, коміт cb56049)</t>
        </is>
      </c>
      <c r="H56" s="22" t="inlineStr">
        <is>
          <t>Горбонос Олександра (СМ), 12.10.2026 (PR #27, коміт cb56049; змерджено в main, ed81b44)</t>
        </is>
      </c>
    </row>
    <row r="57">
      <c r="A57" s="22" t="inlineStr">
        <is>
          <t>План · тип 13 · Інтернаціоналізації (i18n)</t>
        </is>
      </c>
      <c r="B57" s="22" t="inlineStr">
        <is>
          <t>Дрєпіна А. (ІТ)</t>
        </is>
      </c>
      <c r="C57" s="22" t="inlineStr">
        <is>
          <t>Горбонос О. (СМ)</t>
        </is>
      </c>
      <c r="D57" s="22" t="inlineStr">
        <is>
          <t>1✗ 2✗ 3✓ 4✓ 5✓</t>
        </is>
      </c>
      <c r="E57" s="22" t="inlineStr">
        <is>
          <t>пройшло</t>
        </is>
      </c>
      <c r="F57" s="22" t="inlineStr">
        <is>
          <t>«Суми з комами та крапками» — на demo немає поля введення сум (неможливо виконати); «відсутність жорстко закодованого тексту» в Описі не перевіряється. Твердження «demo лише англійською» неточне: на demo є перемикач мов (EN, DE, EL, ES, FR, NL, TR) — його можна використати для перевірки. Повторно перевірено у PR #27: виправлено.</t>
        </is>
      </c>
      <c r="G57" s="22" t="inlineStr">
        <is>
          <t>12.10.2026 (ІТ, PR #27, коміт cb56049)</t>
        </is>
      </c>
      <c r="H57" s="22" t="inlineStr">
        <is>
          <t>Горбонос Олександра (СМ), 12.10.2026 (PR #27, коміт cb56049; змерджено в main, ed81b44)</t>
        </is>
      </c>
    </row>
    <row r="58">
      <c r="A58" s="22" t="inlineStr">
        <is>
          <t>План · тип 14 · Локалізації (l10n)</t>
        </is>
      </c>
      <c r="B58" s="22" t="inlineStr">
        <is>
          <t>Дрєпіна А. (ІТ)</t>
        </is>
      </c>
      <c r="C58" s="22" t="inlineStr">
        <is>
          <t>Горбонос О. (СМ)</t>
        </is>
      </c>
      <c r="D58" s="22" t="inlineStr">
        <is>
          <t>1✗ 2✓ 3✓ 4✓ 5✓</t>
        </is>
      </c>
      <c r="E58" s="22" t="inlineStr">
        <is>
          <t>пройшло</t>
        </is>
      </c>
      <c r="F58" s="22" t="inlineStr">
        <is>
          <t>Критерій «математика цін відповідає українським стандартам» неперевірюваний (як і слова-маркери в аудиті); формат індексу «5 цифр» не заданий у SRS — позначити як припущення; HALF_UP належить типу 5, не l10n. Повторно перевірено у PR #27: виправлено. Тип стає «Ні» (15 застосовних / 9 незастосовних): перевірка СМ пройшла, застосовність затверджує КТ (SCRUM-58) — підтвердження ще очікується.</t>
        </is>
      </c>
      <c r="G58" s="22" t="inlineStr">
        <is>
          <t>12.10.2026 (ІТ, PR #27, коміт cb56049)</t>
        </is>
      </c>
      <c r="H58" s="22" t="inlineStr">
        <is>
          <t>Горбонос Олександра (СМ), 12.10.2026 (PR #27, коміт cb56049; змерджено в main, ed81b44)</t>
        </is>
      </c>
    </row>
    <row r="59">
      <c r="A59" s="22" t="inlineStr">
        <is>
          <t>План · тип 15 · Документації</t>
        </is>
      </c>
      <c r="B59" s="22" t="inlineStr">
        <is>
          <t>Дрєпіна А. (ІТ)</t>
        </is>
      </c>
      <c r="C59" s="22" t="inlineStr">
        <is>
          <t>Горбонос О. (СМ)</t>
        </is>
      </c>
      <c r="D59" s="22" t="inlineStr">
        <is>
          <t>1✓ 2✓ 3✓ 4✓ 5✓</t>
        </is>
      </c>
      <c r="E59" s="22" t="inlineStr">
        <is>
          <t>пройшло</t>
        </is>
      </c>
      <c r="F59" s="22" t="inlineStr">
        <is>
          <t>Редакційне: у SRS D-10 — посібник користувача (Low), D-20 — README модуля з `mvn test` (Medium); у даних «розділ 5, D-10» плутає ID — виправити відповідність.</t>
        </is>
      </c>
      <c r="G59" s="22" t="n"/>
      <c r="H59" s="22" t="n"/>
    </row>
    <row r="60">
      <c r="A60" s="22" t="inlineStr">
        <is>
          <t>План · тип 16 · Навантажувальне (Load)</t>
        </is>
      </c>
      <c r="B60" s="22" t="inlineStr">
        <is>
          <t>Дрєпіна А. (ІТ)</t>
        </is>
      </c>
      <c r="C60" s="22" t="inlineStr">
        <is>
          <t>Горбонос О. (СМ)</t>
        </is>
      </c>
      <c r="D60" s="22" t="inlineStr">
        <is>
          <t>1✓ 2✓ 3✓ 4✓ 5✓</t>
        </is>
      </c>
      <c r="E60" s="22" t="inlineStr">
        <is>
          <t>пройшло</t>
        </is>
      </c>
      <c r="F60" s="22" t="inlineStr">
        <is>
          <t>Параметри відповідають P-20 (100 покупців, p95 ≤ 1 с, 10 хв); заборону на demo позначено, авторські значення позначено «потребує підтвердження замовником».</t>
        </is>
      </c>
      <c r="G60" s="22" t="n"/>
      <c r="H60" s="22" t="n"/>
    </row>
    <row r="61">
      <c r="A61" s="22" t="inlineStr">
        <is>
          <t>План · тип 17 · Стресове (Stress)</t>
        </is>
      </c>
      <c r="B61" s="22" t="inlineStr">
        <is>
          <t>Дрєпіна А. (ІТ)</t>
        </is>
      </c>
      <c r="C61" s="22" t="inlineStr">
        <is>
          <t>Горбонос О. (СМ)</t>
        </is>
      </c>
      <c r="D61" s="22" t="inlineStr">
        <is>
          <t>1✓ 2✓ 3✓ 4✓ 5✓</t>
        </is>
      </c>
      <c r="E61" s="22" t="inlineStr">
        <is>
          <t>пройшло</t>
        </is>
      </c>
      <c r="F61" s="22" t="inlineStr">
        <is>
          <t>Причину незастосовності названо (вимог до дефіциту ресурсів у SRS немає).</t>
        </is>
      </c>
      <c r="G61" s="22" t="n"/>
      <c r="H61" s="22" t="n"/>
    </row>
    <row r="62">
      <c r="A62" s="22" t="inlineStr">
        <is>
          <t>План · тип 18 · Стрибкове (Spike)</t>
        </is>
      </c>
      <c r="B62" s="22" t="inlineStr">
        <is>
          <t>Дрєпіна А. (ІТ)</t>
        </is>
      </c>
      <c r="C62" s="22" t="inlineStr">
        <is>
          <t>Горбонос О. (СМ)</t>
        </is>
      </c>
      <c r="D62" s="22" t="inlineStr">
        <is>
          <t>1✓ 2✓ 3✓ 4✓ 5✓</t>
        </is>
      </c>
      <c r="E62" s="22" t="inlineStr">
        <is>
          <t>пройшло</t>
        </is>
      </c>
      <c r="F62" s="22" t="inlineStr">
        <is>
          <t>Причина посилається на P-20 (рівномірне навантаження) — відповідає SRS.</t>
        </is>
      </c>
      <c r="G62" s="22" t="n"/>
      <c r="H62" s="22" t="n"/>
    </row>
    <row r="63">
      <c r="A63" s="22" t="inlineStr">
        <is>
          <t>План · тип 19 · Порівняльне (Benchmarking)</t>
        </is>
      </c>
      <c r="B63" s="22" t="inlineStr">
        <is>
          <t>Дрєпіна А. (ІТ)</t>
        </is>
      </c>
      <c r="C63" s="22" t="inlineStr">
        <is>
          <t>Горбонос О. (СМ)</t>
        </is>
      </c>
      <c r="D63" s="22" t="inlineStr">
        <is>
          <t>1✓ 2✓ 3✓ 4✓ 5✓</t>
        </is>
      </c>
      <c r="E63" s="22" t="inlineStr">
        <is>
          <t>пройшло</t>
        </is>
      </c>
      <c r="F63" s="22" t="inlineStr">
        <is>
          <t>Причину названо (немає попередньої версії й еталонів).</t>
        </is>
      </c>
      <c r="G63" s="22" t="n"/>
      <c r="H63" s="22" t="n"/>
    </row>
    <row r="64">
      <c r="A64" s="22" t="inlineStr">
        <is>
          <t>План · тип 20 · Профілювання (Profiling)</t>
        </is>
      </c>
      <c r="B64" s="22" t="inlineStr">
        <is>
          <t>Дрєпіна А. (ІТ)</t>
        </is>
      </c>
      <c r="C64" s="22" t="inlineStr">
        <is>
          <t>Горбонос О. (СМ)</t>
        </is>
      </c>
      <c r="D64" s="22" t="inlineStr">
        <is>
          <t>1✓ 2✓ 3✓ 4✗ 5✓</t>
        </is>
      </c>
      <c r="E64" s="22" t="inlineStr">
        <is>
          <t>пройшло</t>
        </is>
      </c>
      <c r="F64" s="22" t="inlineStr">
        <is>
          <t>Причина спирається на «типовий монолітний вебзастосунок» — у SRS 1.0 архітектура інша (SPA + REST API + БД), твердження не підтверджено. Обґрунтувати природою продукту (напр., пороги вже в P-20, еталонів немає). Повторно перевірено у PR #27: виправлено.</t>
        </is>
      </c>
      <c r="G64" s="22" t="inlineStr">
        <is>
          <t>12.10.2026 (ІТ, PR #27, коміт cb56049)</t>
        </is>
      </c>
      <c r="H64" s="22" t="inlineStr">
        <is>
          <t>Горбонос Олександра (СМ), 12.10.2026 (PR #27, коміт cb56049; змерджено в main, ed81b44)</t>
        </is>
      </c>
    </row>
    <row r="65">
      <c r="A65" s="22" t="inlineStr">
        <is>
          <t>План · тип 21 · Стабільності (Soak / Endurance)</t>
        </is>
      </c>
      <c r="B65" s="22" t="inlineStr">
        <is>
          <t>Дрєпіна А. (ІТ)</t>
        </is>
      </c>
      <c r="C65" s="22" t="inlineStr">
        <is>
          <t>Горбонос О. (СМ)</t>
        </is>
      </c>
      <c r="D65" s="22" t="inlineStr">
        <is>
          <t>1✓ 2✓ 3✓ 4✓ 5✓</t>
        </is>
      </c>
      <c r="E65" s="22" t="inlineStr">
        <is>
          <t>пройшло</t>
        </is>
      </c>
      <c r="F65" s="22" t="inlineStr">
        <is>
          <t>Формулювання за рішенням КТ (SCRUM-58); покриття 30-хвилинним сценарієм типу 10 вказано.</t>
        </is>
      </c>
      <c r="G65" s="22" t="n"/>
      <c r="H65" s="22" t="n"/>
    </row>
    <row r="66">
      <c r="A66" s="22" t="inlineStr">
        <is>
          <t>План · тип 22 · Витоків пам'яті (Memory Leaks)</t>
        </is>
      </c>
      <c r="B66" s="22" t="inlineStr">
        <is>
          <t>Дрєпіна А. (ІТ)</t>
        </is>
      </c>
      <c r="C66" s="22" t="inlineStr">
        <is>
          <t>Горбонос О. (СМ)</t>
        </is>
      </c>
      <c r="D66" s="22" t="inlineStr">
        <is>
          <t>1✓ 2✓ 3✓ 4✓ 5✓</t>
        </is>
      </c>
      <c r="E66" s="22" t="inlineStr">
        <is>
          <t>пройшло</t>
        </is>
      </c>
      <c r="F66" s="22" t="inlineStr">
        <is>
          <t>За рішенням КТ (SCRUM-58): критерій 20 % позначено «потребує підтвердження замовником», пріоритет Low пояснено, межу (лише клієнтська частина) вказано.</t>
        </is>
      </c>
      <c r="G66" s="22" t="n"/>
      <c r="H66" s="22" t="n"/>
    </row>
    <row r="67">
      <c r="A67" s="22" t="inlineStr">
        <is>
          <t>План · тип 23 · Вузьких місць (Bottleneck)</t>
        </is>
      </c>
      <c r="B67" s="22" t="inlineStr">
        <is>
          <t>Дрєпіна А. (ІТ)</t>
        </is>
      </c>
      <c r="C67" s="22" t="inlineStr">
        <is>
          <t>Горбонос О. (СМ)</t>
        </is>
      </c>
      <c r="D67" s="22" t="inlineStr">
        <is>
          <t>1✓ 2✓ 3✓ 4✓ 5✓</t>
        </is>
      </c>
      <c r="E67" s="22" t="inlineStr">
        <is>
          <t>пройшло</t>
        </is>
      </c>
      <c r="F67" s="22" t="inlineStr">
        <is>
          <t>Редакційне: покриття типом 16, який на demo не запускається (ризик 1) — діє лише з локальним стендом.</t>
        </is>
      </c>
      <c r="G67" s="22" t="n"/>
      <c r="H67" s="22" t="n"/>
    </row>
    <row r="68">
      <c r="A68" s="22" t="inlineStr">
        <is>
          <t>План · тип 24 · Умов гонок (Race Conditions)</t>
        </is>
      </c>
      <c r="B68" s="22" t="inlineStr">
        <is>
          <t>Дрєпіна А. (ІТ)</t>
        </is>
      </c>
      <c r="C68" s="22" t="inlineStr">
        <is>
          <t>Горбонос О. (СМ)</t>
        </is>
      </c>
      <c r="D68" s="22" t="inlineStr">
        <is>
          <t>1✓ 2✓ 3✓ 4✓ 5✓</t>
        </is>
      </c>
      <c r="E68" s="22" t="inlineStr">
        <is>
          <t>пройшло</t>
        </is>
      </c>
      <c r="F68" s="22" t="inlineStr">
        <is>
          <t>Конкретний тест JUnit 5 (10 конкурентних викликів), пріоритет Medium пояснено, на demo не потрібен.</t>
        </is>
      </c>
      <c r="G68" s="22" t="n"/>
      <c r="H68" s="22" t="n"/>
    </row>
    <row r="69">
      <c r="A69" s="22" t="inlineStr">
        <is>
          <t>План · SCRUM-71 (розд. 5–6, прив'язка до ID SRS 1.1): версії v1–v5, змерджено в main (PR #27)</t>
        </is>
      </c>
      <c r="B69" s="22" t="inlineStr">
        <is>
          <t>Дрєпіна А. (ІТ)</t>
        </is>
      </c>
      <c r="C69" s="22" t="inlineStr">
        <is>
          <t>Горбонос О. (СМ)</t>
        </is>
      </c>
      <c r="D69" s="22" t="inlineStr">
        <is>
          <t>розд. 5–6; різниця з main; пп. 1–5 плану</t>
        </is>
      </c>
      <c r="E69" s="22" t="inlineStr">
        <is>
          <t>пройшло</t>
        </is>
      </c>
      <c r="F69" s="22" t="inlineStr">
        <is>
          <t>v1 (11.10): не пройшло — основа старіша за main (зникли ризики в Цілях і правки SCRUM-68–70), D-10/D-20 переплутані, у розд. 5–6 бракувало інструментів, припущень, наслідку/пом'якшення/власника.
v2: розд. 5–6 виправлено; типи 2, 3, 6, 14 з Описами слабшими за main.
v3: виправлено типи 2, 3, 4, 6, 15, 16, 22; тип 14 посилався на валідацію індексу, якої немає в модулі.
v4: пройшло з трьома правками (шкала 2.1 — прибрати l10n; причина «Ні» типу 14 — від продукту, не від demo; тип 13 — прибрати GUI-10). Тип 14 → «Ні» потребує підтвердження КТ (SCRUM-58). Власник ризику 4 — СМ (рішення СМ, 12.10.2026); запис «СМ / ІТ» у плані лишається без змін.
v5 = PR #27 (коміт cb56049, 12.10.2026): вміст збігається з перевіреним файлом (різниця лише в кінцевому переносі рядка); Описи типів — на рівні main, розд. 5–6 і правки 2.1/тип 13/тип 14 враховано. PR #27 змерджено в main (ed81b44). Залишається підтвердження КТ щодо типу 14 (застосовність затверджує КТ, SCRUM-58).</t>
        </is>
      </c>
      <c r="G69" s="22" t="inlineStr">
        <is>
          <t>12.10.2026 (ІТ, PR #27, коміт cb56049)</t>
        </is>
      </c>
      <c r="H69" s="22" t="inlineStr">
        <is>
          <t>Горбонос Олександра (СМ), 12.10.2026 (PR #27, коміт cb56049; змерджено в main, ed81b44)</t>
        </is>
      </c>
    </row>
    <row r="70">
      <c r="A70" s="22" t="inlineStr">
        <is>
          <t>SRS 1.1 · кожна правка має запис у журналі змін із № дефекту</t>
        </is>
      </c>
      <c r="B70" s="22" t="inlineStr">
        <is>
          <t>Тимчак А. (ТА)</t>
        </is>
      </c>
      <c r="C70" s="22" t="inlineStr">
        <is>
          <t>Горбонос О. (СМ)</t>
        </is>
      </c>
      <c r="D70" s="22" t="inlineStr">
        <is>
          <t>1✓ 2✓ 3✓</t>
        </is>
      </c>
      <c r="E70" s="22" t="inlineStr">
        <is>
          <t>пройшло</t>
        </is>
      </c>
      <c r="F70" s="22" t="inlineStr">
        <is>
          <t>1✓ — журнал змін (29 записів) покриває всі 31 прийнятий рядок реєстру: № дефекту звірено з аркушем «Реєстр», пропусків і зайвих немає; рядки №8, 16, 20, 31, 32 відхилені — правок за ними немає. SRS-1.1.md у main (PR #28).</t>
        </is>
      </c>
      <c r="G70" s="22" t="n"/>
      <c r="H70" s="22" t="n"/>
    </row>
    <row r="71">
      <c r="A71" s="22" t="inlineStr">
        <is>
          <t>SRS 1.1 · ID не перенумеровані</t>
        </is>
      </c>
      <c r="B71" s="22" t="inlineStr">
        <is>
          <t>Тимчак А. (ТА)</t>
        </is>
      </c>
      <c r="C71" s="22" t="inlineStr">
        <is>
          <t>Горбонос О. (СМ)</t>
        </is>
      </c>
      <c r="D71" s="22" t="inlineStr">
        <is>
          <t>2✓</t>
        </is>
      </c>
      <c r="E71" s="22" t="inlineStr">
        <is>
          <t>пройшло</t>
        </is>
      </c>
      <c r="F71" s="22" t="inlineStr">
        <is>
          <t>2✓ — усі ID на місці; нові ID — GUI-65 і U-30 (вільні проміжні номери); BL-30 вилучено без повторного використання номера (рядок «Вилучено»), посилань на BL-30 у тексті немає.</t>
        </is>
      </c>
      <c r="G71" s="22" t="n"/>
      <c r="H71" s="22" t="n"/>
    </row>
    <row r="72">
      <c r="A72" s="22" t="inlineStr">
        <is>
          <t>SRS 1.1 · незмінені вимоги дослівні</t>
        </is>
      </c>
      <c r="B72" s="22" t="inlineStr">
        <is>
          <t>Тимчак А. (ТА)</t>
        </is>
      </c>
      <c r="C72" s="22" t="inlineStr">
        <is>
          <t>Горбонос О. (СМ)</t>
        </is>
      </c>
      <c r="D72" s="22" t="inlineStr">
        <is>
          <t>3✓</t>
        </is>
      </c>
      <c r="E72" s="22" t="inlineStr">
        <is>
          <t>пройшло</t>
        </is>
      </c>
      <c r="F72" s="22" t="inlineStr">
        <is>
          <t>3✓ — програмне порівняння з SRS 1.0: 16 вимог без правок дослівні, пріоритети збігаються; розділи 1.1–2.3 дослівні, окрім 2.2 (запис №1 журналу).</t>
        </is>
      </c>
      <c r="G72" s="22" t="n"/>
      <c r="H72" s="22" t="n"/>
    </row>
    <row r="73"/>
    <row r="74">
      <c r="A74" s="11" t="inlineStr">
        <is>
          <t>Пояснення</t>
        </is>
      </c>
    </row>
    <row r="75" ht="15" customHeight="1">
      <c r="A75" s="10" t="inlineStr">
        <is>
          <t>Умовні позначки: ✓ перевірено, ✗ не виконано, н/з — не застосовується (рядок відхилено).</t>
        </is>
      </c>
    </row>
    <row r="76" ht="30" customHeight="1">
      <c r="A76" s="10" t="inlineStr">
        <is>
          <t>Реєстр, пп.: 1 ID/локатор є в SRS 1.0; 2 цитата збігається зі SRS 1.0; 3 пункт чек-листа названо й доречний; 4 критерій головний; 5 виправлення готове; 6 виправлення не створює нового дефекту; 7 автор(и) зазначено.</t>
        </is>
      </c>
    </row>
    <row r="77" ht="30" customHeight="1">
      <c r="A77" s="10" t="inlineStr">
        <is>
          <t>План, пп.: 1 Ціль і Опис специфічні для ШопЛайн; 2 Опис виконуваний на demo або обмеження позначено; 3 названо інструменти й дані; 4 пріоритет і незастосовність пояснено; 5 рівні й типи в різних рядках.</t>
        </is>
      </c>
    </row>
    <row r="78" ht="15" customHeight="1">
      <c r="A78" s="10" t="inlineStr">
        <is>
          <t>Чек-листи — офіційні (методичка спринта 2, розд. 4.2–4.7). Рядки, де СМ — автор, рецензує КТ; якщо КТ також співавтор — ІТ; якщо автори всі четверо — незалежного рецензента немає (§4.9).</t>
        </is>
      </c>
    </row>
    <row r="79" ht="15" customHeight="1">
      <c r="A79" s="10" t="inlineStr">
        <is>
          <t>Версії: перша перевірка — main (92899b6, 12.10.2026); повторна — main (1c0fea8, 13.10.2026: PR #23, #27, #28). Рецензент СМ: Горбонос О.</t>
        </is>
      </c>
    </row>
    <row r="80" ht="15" customHeight="1">
      <c r="A80" s="10" t="inlineStr">
        <is>
          <t>Виконуваність Описів на demo перевірено вибірково (API, редирект /account, форма реєстрації, перемикач мов); повний прогін сценаріїв не виконувався.</t>
        </is>
      </c>
    </row>
    <row r="81" ht="30" customHeight="1">
      <c r="A81" s="10" t="inlineStr">
        <is>
          <t>«Виправлено» і «Повторне підтвердження» заповнюються лише після реальних правок авторів; для рядків, які пройшли з першого разу, повторне підтвердження не потрібне. Редакційні зауваження не змінюють результат, але мають бути враховані до SRS 1.1.</t>
        </is>
      </c>
    </row>
  </sheetData>
  <mergeCells count="7">
    <mergeCell ref="A76:F76"/>
    <mergeCell ref="A80:F80"/>
    <mergeCell ref="A75:F75"/>
    <mergeCell ref="A79:F79"/>
    <mergeCell ref="A78:F78"/>
    <mergeCell ref="A77:F77"/>
    <mergeCell ref="A81:F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2026-10-13T19:00:35Z</dcterms:modified>
</cp:coreProperties>
</file>