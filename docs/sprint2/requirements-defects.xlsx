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озподіл розділів" sheetId="1" state="visible" r:id="rId1"/>
    <sheet xmlns:r="http://schemas.openxmlformats.org/officeDocument/2006/relationships" name="audit_horbonos" sheetId="2" state="visible" r:id="rId2"/>
    <sheet xmlns:r="http://schemas.openxmlformats.org/officeDocument/2006/relationships" name="audit_korotka" sheetId="3" state="visible" r:id="rId3"/>
    <sheet xmlns:r="http://schemas.openxmlformats.org/officeDocument/2006/relationships" name="audit_drepina" sheetId="4" state="visible" r:id="rId4"/>
    <sheet xmlns:r="http://schemas.openxmlformats.org/officeDocument/2006/relationships" name="audit_tymchak" sheetId="5" state="visible" r:id="rId5"/>
    <sheet xmlns:r="http://schemas.openxmlformats.org/officeDocument/2006/relationships" name="Реєстр" sheetId="6" state="visible" r:id="rId6"/>
    <sheet xmlns:r="http://schemas.openxmlformats.org/officeDocument/2006/relationships" name="Спірні" sheetId="7" state="visible" r:id="rId7"/>
    <sheet xmlns:r="http://schemas.openxmlformats.org/officeDocument/2006/relationships" name="Рецензування" sheetId="8" state="visible" r:id="rId8"/>
  </sheets>
  <definedNames>
    <definedName name="_xlnm._FilterDatabase" localSheetId="5" hidden="1">'Реєстр'!$A$1:$J$37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</font>
    <font>
      <i val="1"/>
      <sz val="9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sz val="11"/>
    </font>
  </fonts>
  <fills count="4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D9E1F2"/>
      </patternFill>
    </fill>
  </fills>
  <borders count="5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2" borderId="2" applyAlignment="1" pivotButton="0" quotePrefix="0" xfId="0">
      <alignment vertical="center" wrapText="1"/>
    </xf>
    <xf numFmtId="0" fontId="1" fillId="2" borderId="2" pivotButton="0" quotePrefix="0" xfId="0"/>
    <xf numFmtId="0" fontId="0" fillId="0" borderId="2" applyAlignment="1" pivotButton="0" quotePrefix="0" xfId="0">
      <alignment vertical="top" wrapText="1"/>
    </xf>
    <xf numFmtId="0" fontId="0" fillId="0" borderId="2" pivotButton="0" quotePrefix="0" xfId="0"/>
    <xf numFmtId="0" fontId="1" fillId="0" borderId="2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0" fillId="0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top"/>
    </xf>
    <xf numFmtId="0" fontId="4" fillId="0" borderId="3" applyAlignment="1" pivotButton="0" quotePrefix="0" xfId="0">
      <alignment horizontal="left" vertical="top" wrapText="1"/>
    </xf>
    <xf numFmtId="0" fontId="4" fillId="0" borderId="3" applyAlignment="1" pivotButton="0" quotePrefix="0" xfId="0">
      <alignment horizontal="left" vertical="center"/>
    </xf>
    <xf numFmtId="0" fontId="4" fillId="0" borderId="3" applyAlignment="1" pivotButton="0" quotePrefix="0" xfId="0">
      <alignment horizontal="center" vertical="center"/>
    </xf>
    <xf numFmtId="0" fontId="5" fillId="0" borderId="3" applyAlignment="1" pivotButton="0" quotePrefix="0" xfId="0">
      <alignment horizontal="left" vertical="center"/>
    </xf>
    <xf numFmtId="0" fontId="5" fillId="0" borderId="3" applyAlignment="1" pivotButton="0" quotePrefix="0" xfId="0">
      <alignment horizontal="center" vertical="center"/>
    </xf>
    <xf numFmtId="0" fontId="1" fillId="3" borderId="4" applyAlignment="1" pivotButton="0" quotePrefix="0" xfId="0">
      <alignment vertical="center" wrapText="1"/>
    </xf>
    <xf numFmtId="0" fontId="6" fillId="0" borderId="4" applyAlignment="1" pivotButton="0" quotePrefix="0" xfId="0">
      <alignment vertical="top" wrapText="1"/>
    </xf>
    <xf numFmtId="0" fontId="6" fillId="0" borderId="0" pivotButton="0" quotePrefix="0" xfId="0"/>
    <xf numFmtId="0" fontId="6" fillId="0" borderId="0" applyAlignment="1" pivotButton="0" quotePrefix="0" xfId="0">
      <alignment vertical="top" wrapText="1"/>
    </xf>
    <xf numFmtId="0" fontId="1" fillId="3" borderId="4" pivotButton="0" quotePrefix="0" xfId="0"/>
    <xf numFmtId="0" fontId="0" fillId="0" borderId="4" pivotButton="0" quotePrefix="0" xfId="0"/>
    <xf numFmtId="0" fontId="1" fillId="0" borderId="4" pivotButton="0" quotePrefix="0" xfId="0"/>
    <xf numFmtId="0" fontId="6" fillId="0" borderId="4" pivotButton="0" quotePrefix="0" xfId="0"/>
  </cellXfs>
  <cellStyles count="1">
    <cellStyle name="Normal" xfId="0" builtinId="0" hidden="0"/>
  </cellStyles>
  <dxfs count="1">
    <dxf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14" customWidth="1" min="4" max="4"/>
  </cols>
  <sheetData>
    <row r="1">
      <c r="A1" s="1" t="inlineStr">
        <is>
          <t>Розділ</t>
        </is>
      </c>
      <c r="B1" s="1" t="inlineStr">
        <is>
          <t>Перевіряє 1</t>
        </is>
      </c>
      <c r="C1" s="1" t="inlineStr">
        <is>
          <t>Перевіряє 2</t>
        </is>
      </c>
      <c r="D1" s="1" t="inlineStr">
        <is>
          <t>Дедлайн аудиту</t>
        </is>
      </c>
    </row>
    <row r="2">
      <c r="A2" s="2" t="inlineStr">
        <is>
          <t>1–2 (Вступ, терміни, ролі, середовище, обмеження)</t>
        </is>
      </c>
      <c r="B2" s="2" t="inlineStr">
        <is>
          <t>Горбонос О. (СМ)</t>
        </is>
      </c>
      <c r="C2" s="2" t="inlineStr">
        <is>
          <t>Коротка К. (КТ)</t>
        </is>
      </c>
      <c r="D2" s="2" t="inlineStr">
        <is>
          <t>День 4</t>
        </is>
      </c>
    </row>
    <row r="3">
      <c r="A3" s="2" t="inlineStr">
        <is>
          <t>3 (Функціональні вимоги, F-xx)</t>
        </is>
      </c>
      <c r="B3" s="2" t="inlineStr">
        <is>
          <t>Тимчак А. (ТА)</t>
        </is>
      </c>
      <c r="C3" s="2" t="inlineStr">
        <is>
          <t>Горбонос О. (СМ)</t>
        </is>
      </c>
      <c r="D3" s="2" t="inlineStr">
        <is>
          <t>День 4</t>
        </is>
      </c>
    </row>
    <row r="4">
      <c r="A4" s="2" t="inlineStr">
        <is>
          <t>4 (Інтерфейс користувача, GUI-xx)</t>
        </is>
      </c>
      <c r="B4" s="2" t="inlineStr">
        <is>
          <t>Дрєпіна А. (ІТ)</t>
        </is>
      </c>
      <c r="C4" s="2" t="inlineStr">
        <is>
          <t>Коротка К. (КТ)</t>
        </is>
      </c>
      <c r="D4" s="2" t="inlineStr">
        <is>
          <t>День 4</t>
        </is>
      </c>
    </row>
    <row r="5">
      <c r="A5" s="2" t="inlineStr">
        <is>
          <t>5 (Бізнес-логіка модуля, BL-xx)</t>
        </is>
      </c>
      <c r="B5" s="2" t="inlineStr">
        <is>
          <t>Тимчак А. (ТА)</t>
        </is>
      </c>
      <c r="C5" s="2" t="inlineStr">
        <is>
          <t>Дрєпіна А. (ІТ)</t>
        </is>
      </c>
      <c r="D5" s="2" t="inlineStr">
        <is>
          <t>День 4</t>
        </is>
      </c>
    </row>
    <row r="6">
      <c r="A6" s="2" t="inlineStr">
        <is>
          <t>6 (Нефункціональні вимоги, P-/S-/U-/D-xx)</t>
        </is>
      </c>
      <c r="B6" s="2" t="inlineStr">
        <is>
          <t>Дрєпіна А. (ІТ)</t>
        </is>
      </c>
      <c r="C6" s="2" t="inlineStr">
        <is>
          <t>Коротка К. (КТ)</t>
        </is>
      </c>
      <c r="D6" s="2" t="inlineStr">
        <is>
          <t>День 4</t>
        </is>
      </c>
    </row>
    <row r="8">
      <c r="A8" s="3" t="inlineStr">
        <is>
          <t>Кожен розділ перевіряють рівно двоє незалежно; обговорення знахідок до дня 5 заборонене.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46" customWidth="1" min="4" max="4"/>
    <col width="52" customWidth="1" min="5" max="5"/>
    <col width="62" customWidth="1" min="6" max="6"/>
    <col width="18" customWidth="1" min="7" max="7"/>
    <col width="22" customWidth="1" min="9" max="9"/>
    <col width="12" customWidth="1" min="10" max="10"/>
  </cols>
  <sheetData>
    <row r="1">
      <c r="A1" s="5" t="inlineStr">
        <is>
          <t>№</t>
        </is>
      </c>
      <c r="B1" s="5" t="inlineStr">
        <is>
          <t>ID/локатор</t>
        </is>
      </c>
      <c r="C1" s="5" t="inlineStr">
        <is>
          <t>Критерій</t>
        </is>
      </c>
      <c r="D1" s="5" t="inlineStr">
        <is>
          <t>Пункт чек-листа</t>
        </is>
      </c>
      <c r="E1" s="5" t="inlineStr">
        <is>
          <t>Цитата</t>
        </is>
      </c>
      <c r="F1" s="5" t="inlineStr">
        <is>
          <t>Виправлення</t>
        </is>
      </c>
      <c r="G1" s="5" t="inlineStr">
        <is>
          <t>Хто знайшов</t>
        </is>
      </c>
      <c r="I1" s="6" t="inlineStr">
        <is>
          <t>Критерій</t>
        </is>
      </c>
      <c r="J1" s="6" t="inlineStr">
        <is>
          <t>Рядків</t>
        </is>
      </c>
    </row>
    <row r="2">
      <c r="A2" s="7" t="n">
        <v>1</v>
      </c>
      <c r="B2" s="7" t="inlineStr">
        <is>
          <t>F-20</t>
        </is>
      </c>
      <c r="C2" s="7" t="inlineStr">
        <is>
          <t>Однозначність</t>
        </is>
      </c>
      <c r="D2" s="7" t="inlineStr">
        <is>
          <t>п. 2 (вимога чітка і зрозуміла), п. 4 (допускає єдину інтерпретацію). Цільова сторінка не названа, тож тест-кейс має кілька «очікуваних результатів».</t>
        </is>
      </c>
      <c r="E2" s="7" t="inlineStr">
        <is>
          <t>«Після успішного входу система перенаправляє користувача на відповідну сторінку.»</t>
        </is>
      </c>
      <c r="F2" s="7" t="inlineStr">
        <is>
          <t>«Після успішного входу система перенаправляє покупця на сторінку особистого кабінету (/account); якщо вхід виконано на кроці «Sign in» оформлення замовлення (F-110) — на крок «Billing Address».»</t>
        </is>
      </c>
      <c r="G2" s="7" t="inlineStr">
        <is>
          <t>Горбонос О. (СМ)</t>
        </is>
      </c>
      <c r="I2" s="8" t="inlineStr">
        <is>
          <t>Однозначність</t>
        </is>
      </c>
      <c r="J2" s="8">
        <f>COUNTIF($C$2:$C$11,I2)</f>
        <v/>
      </c>
    </row>
    <row r="3">
      <c r="A3" s="7" t="n">
        <v>2</v>
      </c>
      <c r="B3" s="7" t="inlineStr">
        <is>
          <t>F-60</t>
        </is>
      </c>
      <c r="C3" s="7" t="inlineStr">
        <is>
          <t>Однозначність</t>
        </is>
      </c>
      <c r="D3" s="7" t="inlineStr">
        <is>
          <t>п. 4 (допускає єдину інтерпретацію), п. 3 (трактується в сенсі автора). «Схожі» не задає правила збігу: підрядок, нечіткий пошук чи синоніми.</t>
        </is>
      </c>
      <c r="E3" s="7" t="inlineStr">
        <is>
          <t>«Поле пошуку на головній сторінці дозволяє знайти товари, назви яких схожі на введений запит.»</t>
        </is>
      </c>
      <c r="F3" s="7" t="inlineStr">
        <is>
          <t>«Поле пошуку на головній сторінці дозволяє знайти товари, назви яких містять введений запит (без урахування регістру літер).» (Правило звірено з demo: запит «PLI» повертає «Pliers», «Combination Pliers» та інші.)</t>
        </is>
      </c>
      <c r="G3" s="7" t="inlineStr">
        <is>
          <t>Горбонос О. (СМ)</t>
        </is>
      </c>
      <c r="I3" s="8" t="inlineStr">
        <is>
          <t>Повнота</t>
        </is>
      </c>
      <c r="J3" s="8">
        <f>COUNTIF($C$2:$C$11,I3)</f>
        <v/>
      </c>
    </row>
    <row r="4">
      <c r="A4" s="7" t="n">
        <v>3</v>
      </c>
      <c r="B4" s="7" t="inlineStr">
        <is>
          <t>F-100</t>
        </is>
      </c>
      <c r="C4" s="7" t="inlineStr">
        <is>
          <t>Повнота</t>
        </is>
      </c>
      <c r="D4" s="7" t="inlineStr">
        <is>
          <t>п. 3 (немає посилань на неіснуючі документи). У розділі 5 є вимоги BL-10…BL-80 з кроком 10; BL-25 немає.</t>
        </is>
      </c>
      <c r="E4" s="7" t="inlineStr">
        <is>
          <t>«Обмеження на кількість одиниць у рядку визначає вимога BL-25.»</t>
        </is>
      </c>
      <c r="F4" s="7" t="inlineStr">
        <is>
          <t>«Обмеження на кількість одиниць у рядку (ціле число від 1 до 99 включно) визначає вимога BL-40.»</t>
        </is>
      </c>
      <c r="G4" s="7" t="inlineStr">
        <is>
          <t>Горбонос О. (СМ)</t>
        </is>
      </c>
      <c r="I4" s="8" t="inlineStr">
        <is>
          <t>Несуперечливість</t>
        </is>
      </c>
      <c r="J4" s="8">
        <f>COUNTIF($C$2:$C$11,I4)</f>
        <v/>
      </c>
    </row>
    <row r="5">
      <c r="A5" s="7" t="n">
        <v>4</v>
      </c>
      <c r="B5" s="7" t="inlineStr">
        <is>
          <t>F-140</t>
        </is>
      </c>
      <c r="C5" s="7" t="inlineStr">
        <is>
          <t>Повнота</t>
        </is>
      </c>
      <c r="D5" s="7" t="inlineStr">
        <is>
          <t>п. 4 (обумовлено всі допустимі та недопустимі вхідні дані), п. 5 (реакція на помилки). Для вкладення не задано формат, розмір і реакцію на недопустимий файл.</t>
        </is>
      </c>
      <c r="E5" s="7" t="inlineStr">
        <is>
          <t>«До звернення можна додати файл-вкладення.»</t>
        </is>
      </c>
      <c r="F5" s="7" t="inlineStr">
        <is>
          <t>«До звернення можна додати один файл-вкладення розміром до 5 МБ у форматі PDF, PNG, JPG або TXT; для файлу, що не відповідає цим умовам, система показує повідомлення про недопустимий файл біля поля вкладення і не надсилає звернення (GUI-50).» (Формати й межа 5 МБ — потребує підтвердження замовником.)</t>
        </is>
      </c>
      <c r="G5" s="7" t="inlineStr">
        <is>
          <t>Горбонос О. (СМ)</t>
        </is>
      </c>
      <c r="I5" s="8" t="inlineStr">
        <is>
          <t>Простежуваність</t>
        </is>
      </c>
      <c r="J5" s="8">
        <f>COUNTIF($C$2:$C$11,I5)</f>
        <v/>
      </c>
    </row>
    <row r="6">
      <c r="A6" s="7" t="n">
        <v>5</v>
      </c>
      <c r="B6" s="7" t="inlineStr">
        <is>
          <t>F-110 ↔ BL-60</t>
        </is>
      </c>
      <c r="C6" s="7" t="inlineStr">
        <is>
          <t>Несуперечливість</t>
        </is>
      </c>
      <c r="D6" s="7" t="inlineStr">
        <is>
          <t>п. 2 (вимоги не суперечать одна одній). Різний поріг безкоштовної доставки; у F-110 також не вказано, до чи після знижки рахується сума.</t>
        </is>
      </c>
      <c r="E6" s="7" t="inlineStr">
        <is>
          <t>F-110: «для замовлень від 2000 грн доставка безкоштовна». BL-60: «0.00 грн, якщо сума після знижки не менша за 1500 грн».</t>
        </is>
      </c>
      <c r="F6" s="7" t="inlineStr">
        <is>
          <t>У F-110: «… вартість доставки: 120 грн; якщо сума замовлення після знижки за обсяг становить не менше 1500 грн, доставка безкоштовна.» (Поріг 1500 грн узято з BL-60 — потребує підтвердження замовником.)</t>
        </is>
      </c>
      <c r="G6" s="7" t="inlineStr">
        <is>
          <t>Горбонос О. (СМ)</t>
        </is>
      </c>
      <c r="I6" s="8" t="inlineStr">
        <is>
          <t>Здійсненність</t>
        </is>
      </c>
      <c r="J6" s="8">
        <f>COUNTIF($C$2:$C$11,I6)</f>
        <v/>
      </c>
    </row>
    <row r="7">
      <c r="A7" s="7" t="n">
        <v>6</v>
      </c>
      <c r="B7" s="7" t="inlineStr">
        <is>
          <t>F-120 ↔ GUI-40</t>
        </is>
      </c>
      <c r="C7" s="7" t="inlineStr">
        <is>
          <t>Несуперечливість</t>
        </is>
      </c>
      <c r="D7" s="7" t="inlineStr">
        <is>
          <t>п. 2 (вимоги не суперечать одна одній). На користь правки F-120: 1.3 («Обране» — збережені зареєстрованим покупцем) і 2.1 (обране лише в ролі «Зареєстрований покупець»).</t>
        </is>
      </c>
      <c r="E7" s="7" t="inlineStr">
        <is>
          <t>F-120: «Покупець може додати товар до списку обраного кнопкою «Add to favourites» без входу в систему». GUI-40: «якщо покупець не увійшов у систему, … товар до обраного не додається».</t>
        </is>
      </c>
      <c r="F7" s="7" t="inlineStr">
        <is>
          <t>У F-120: «Зареєстрований покупець, який увійшов у систему, може додати товар до списку обраного кнопкою «Add to favourites»; для неавторизованого покупця поведінку визначає GUI-40. Список обраного доступний у кабінеті («My favorites»), де позицію можна видалити.»</t>
        </is>
      </c>
      <c r="G7" s="7" t="inlineStr">
        <is>
          <t>Горбонос О. (СМ)</t>
        </is>
      </c>
      <c r="I7" s="8" t="inlineStr">
        <is>
          <t>Тестопридатність</t>
        </is>
      </c>
      <c r="J7" s="8">
        <f>COUNTIF($C$2:$C$11,I7)</f>
        <v/>
      </c>
    </row>
    <row r="8">
      <c r="A8" s="7" t="n">
        <v>7</v>
      </c>
      <c r="B8" s="7" t="inlineStr">
        <is>
          <t>F-40 ↔ GUI-20</t>
        </is>
      </c>
      <c r="C8" s="7" t="inlineStr">
        <is>
          <t>Несуперечливість</t>
        </is>
      </c>
      <c r="D8" s="7" t="inlineStr">
        <is>
          <t>п. 2 (вимоги не суперечать одна одній). Різна кількість карток на сторінці; на demo каталог показує 9 карток (сітка 3×3), тож правиться GUI-20.</t>
        </is>
      </c>
      <c r="E8" s="7" t="inlineStr">
        <is>
          <t>F-40: «по 9 карток на сторінці». GUI-20: «у три колонки по 12 карток на сторінці».</t>
        </is>
      </c>
      <c r="F8" s="7" t="inlineStr">
        <is>
          <t>У GUI-20: 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«Out of stock».»</t>
        </is>
      </c>
      <c r="G8" s="7" t="inlineStr">
        <is>
          <t>Горбонос О. (СМ)</t>
        </is>
      </c>
      <c r="I8" s="9" t="inlineStr">
        <is>
          <t>Разом</t>
        </is>
      </c>
      <c r="J8" s="9">
        <f>SUM(J2:J7)</f>
        <v/>
      </c>
    </row>
    <row r="9">
      <c r="A9" s="7" t="n">
        <v>8</v>
      </c>
      <c r="B9" s="7" t="inlineStr">
        <is>
          <t>2.2 ↔ розд. 6 (вимога про 375 px, без ID)</t>
        </is>
      </c>
      <c r="C9" s="7" t="inlineStr">
        <is>
          <t>Несуперечливість</t>
        </is>
      </c>
      <c r="D9" s="7" t="inlineStr">
        <is>
          <t>п. 2 (вимоги не суперечать одна одній). 2.2 задає мінімальне вікно 1280×800, а вимога розділу 6 — коректний вигляд за ширини 375 px. Відсутній ID у вимозі розділу 6 — окремий дефект простежуваності, у цей рядок не входить.</t>
        </is>
      </c>
      <c r="E9" s="7" t="inlineStr">
        <is>
          <t>2.2: «мінімальна роздільна здатність вікна 1280×800». Розд. 6: «Інтерфейс коректно відображається за ширини вікна 375 пікселів».</t>
        </is>
      </c>
      <c r="F9" s="7" t="inlineStr">
        <is>
          <t>У 2.2: «Підтримувані браузери: Chrome 120 і новіші, Firefox 115 і новіші на настільних операційних системах; підтримувані розміри вікна — від 375 пікселів у ширину (мобільний вигляд інтерфейсу) і більше, основний настільний розмір — 1280×800.» (Мінімальну ширину 375 px узято з розділу 6 — потребує підтвердження замовником.)</t>
        </is>
      </c>
      <c r="G9" s="7" t="inlineStr">
        <is>
          <t>Горбонос О. (СМ)</t>
        </is>
      </c>
    </row>
    <row r="10">
      <c r="A10" s="7" t="n">
        <v>9</v>
      </c>
      <c r="B10" s="7" t="inlineStr">
        <is>
          <t>F-30</t>
        </is>
      </c>
      <c r="C10" s="7" t="inlineStr">
        <is>
          <t>Здійсненність</t>
        </is>
      </c>
      <c r="D10" s="7" t="inlineStr">
        <is>
          <t>Єдиний пункт чек-листа: вимога здійсненна з погляду ресурсів і не залежить від систем, які продукт не контролює. Доставка до скриньки залежить від поштового провайдера одержувача.</t>
        </is>
      </c>
      <c r="E10" s="7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одержувача».</t>
        </is>
      </c>
      <c r="F10" s="7" t="inlineStr">
        <is>
          <t>«Після надсилання форми система формує лист із посиланням для встановлення нового пароля і передає його поштовому сервісу не довше ніж за 1 секунду; час доставки до скриньки залежить від поштового провайдера одержувача і не гарантується.»</t>
        </is>
      </c>
      <c r="G10" s="7" t="inlineStr">
        <is>
          <t>Горбонос О. (СМ)</t>
        </is>
      </c>
      <c r="I10" s="10" t="inlineStr">
        <is>
          <t>Розділи 1–2 і 3. Простежуваність: у цих розділах дефектів немає (ID F-10…F-140 унікальні, крок 10); дефекти ID — у розділах 4–6.</t>
        </is>
      </c>
    </row>
    <row r="11">
      <c r="A11" s="7" t="n">
        <v>10</v>
      </c>
      <c r="B11" s="7" t="inlineStr">
        <is>
          <t>F-90</t>
        </is>
      </c>
      <c r="C11" s="7" t="inlineStr">
        <is>
          <t>Тестопридатність</t>
        </is>
      </c>
      <c r="D11" s="7" t="inlineStr">
        <is>
          <t>Практичний тест: немає критерію «пройдено / не пройдено». Слова-маркери «миттєво» (немає числа) і «без помилок» (не задано, що спостерігати).</t>
        </is>
      </c>
      <c r="E11" s="7" t="inlineStr">
        <is>
          <t>«Натискання «Add to cart» додає товар у кошик у вказаній кількості миттєво і без помилок».</t>
        </is>
      </c>
      <c r="F11" s="7" t="inlineStr">
        <is>
          <t>«Натискання «Add to cart» не довше ніж за 1 с додає товар у кошик у вказаній кількості (позиція з'являється на кроці «Cart»), повідомлення про помилку не виводиться; повторне додавання того самого товару збільшує його кількість у кошику.» (Значення 1 с — потребує підтвердження замовником.)</t>
        </is>
      </c>
      <c r="G11" s="7" t="inlineStr">
        <is>
          <t>Горбонос О. (СМ)</t>
        </is>
      </c>
    </row>
    <row r="12"/>
    <row r="13"/>
    <row r="14"/>
  </sheetData>
  <mergeCells count="1">
    <mergeCell ref="I10:J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55" customWidth="1" min="6" max="6"/>
    <col width="16" customWidth="1" min="7" max="7"/>
    <col width="34" customWidth="1" min="8" max="8"/>
    <col width="3" customWidth="1" min="9" max="9"/>
    <col width="18" customWidth="1" min="10" max="10"/>
    <col width="8" customWidth="1" min="11" max="11"/>
  </cols>
  <sheetData>
    <row r="1">
      <c r="A1" s="1" t="inlineStr">
        <is>
          <t>№</t>
        </is>
      </c>
      <c r="B1" s="1" t="inlineStr">
        <is>
          <t>ID/локатор</t>
        </is>
      </c>
      <c r="C1" s="1" t="inlineStr">
        <is>
          <t>Критерій</t>
        </is>
      </c>
      <c r="D1" s="1" t="inlineStr">
        <is>
          <t>Пункт чек-листа</t>
        </is>
      </c>
      <c r="E1" s="1" t="inlineStr">
        <is>
          <t>Цитата</t>
        </is>
      </c>
      <c r="F1" s="1" t="inlineStr">
        <is>
          <t>Виправлення</t>
        </is>
      </c>
      <c r="G1" s="1" t="inlineStr">
        <is>
          <t>Хто знайшов</t>
        </is>
      </c>
      <c r="H1" s="1" t="inlineStr">
        <is>
          <t>Примітка</t>
        </is>
      </c>
      <c r="J1" s="11" t="inlineStr">
        <is>
          <t>Критерій</t>
        </is>
      </c>
      <c r="K1" s="11" t="inlineStr">
        <is>
          <t>Рядків</t>
        </is>
      </c>
    </row>
    <row r="2">
      <c r="A2" s="12" t="n">
        <v>1</v>
      </c>
      <c r="B2" s="12" t="inlineStr">
        <is>
          <t>розд. 2.2 ↔ розд. 6, рядок 7, без ID</t>
        </is>
      </c>
      <c r="C2" s="12" t="inlineStr">
        <is>
          <t>Несуперечливість</t>
        </is>
      </c>
      <c r="D2" s="12" t="inlineStr">
        <is>
          <t>п. 2 — вимоги не суперечать одна одній</t>
        </is>
      </c>
      <c r="E2" s="12" t="inlineStr">
        <is>
          <t>«Підтримувані браузери: Chrome 120 і новіші, Firefox 115 і новіші на настільних операційних системах; мінімальна роздільна здатність вікна 1280×800» (2.2) суперечить «Інтерфейс коректно відображається за ширини вікна 375 пікселів … кнопками, придатними для натискання пальцем (не менше 44×44 пікселі)» (розд. 6). 2.2 обмежує продукт настільними ОС і шириною від 1280 пікселів, а розд. 6 вимагає мобільної ширини 375 пікселів і сенсорного керування.</t>
        </is>
      </c>
      <c r="F2" s="12" t="inlineStr">
        <is>
          <t>2.2: «Підтримувані браузери: Chrome 120 і новіші, Firefox 115 і новіші на настільних операційних системах, Chrome для Android 120 і новіші, Safari для iOS 17 і новіші; мінімальна ширина вікна — 375 пікселів.»</t>
        </is>
      </c>
      <c r="G2" s="12" t="inlineStr">
        <is>
          <t>Коротка К. (КТ)</t>
        </is>
      </c>
      <c r="H2" s="12" t="inlineStr">
        <is>
          <t>Версії мобільних браузерів — потребує підтвердження замовником. Пов'язано з рядком 14.</t>
        </is>
      </c>
      <c r="J2" t="inlineStr">
        <is>
          <t>Однозначність</t>
        </is>
      </c>
      <c r="K2">
        <f>COUNTIF($C$2:$C$19,J2)</f>
        <v/>
      </c>
    </row>
    <row r="3">
      <c r="A3" s="12" t="n">
        <v>2</v>
      </c>
      <c r="B3" s="12" t="inlineStr">
        <is>
          <t>GUI-10</t>
        </is>
      </c>
      <c r="C3" s="12" t="inlineStr">
        <is>
          <t>Повнота</t>
        </is>
      </c>
      <c r="D3" s="12" t="inlineStr">
        <is>
          <t>п. 1 — вимога містить повну інформацію</t>
        </is>
      </c>
      <c r="E3" s="12" t="inlineStr">
        <is>
          <t>«…«Sign in» та перемикач мови інтерфейсу» — не вказано, які мови доступні і яка мова за замовчуванням (у 2.2: «Інтерфейс demo — англійською мовою»).</t>
        </is>
      </c>
      <c r="F3" s="12" t="inlineStr">
        <is>
          <t>«…«Sign in» та перемикач мови інтерфейсу з варіантами DE, EL, EN, ES, FR, NL, TR; мова за замовчуванням — EN.»</t>
        </is>
      </c>
      <c r="G3" s="12" t="inlineStr">
        <is>
          <t>Коротка К. (КТ)</t>
        </is>
      </c>
      <c r="H3" s="12" t="inlineStr">
        <is>
          <t>Перелік мов звірено з demo 01.10.2026. Середня впевненість.</t>
        </is>
      </c>
      <c r="J3" t="inlineStr">
        <is>
          <t>Повнота</t>
        </is>
      </c>
      <c r="K3">
        <f>COUNTIF($C$2:$C$19,J3)</f>
        <v/>
      </c>
    </row>
    <row r="4">
      <c r="A4" s="12" t="n">
        <v>3</v>
      </c>
      <c r="B4" s="12" t="inlineStr">
        <is>
          <t>GUI-20 ↔ F-40</t>
        </is>
      </c>
      <c r="C4" s="12" t="inlineStr">
        <is>
          <t>Несуперечливість</t>
        </is>
      </c>
      <c r="D4" s="12" t="inlineStr">
        <is>
          <t>п. 2 — вимоги не суперечать одна одній</t>
        </is>
      </c>
      <c r="E4" s="12" t="inlineStr">
        <is>
          <t>«Картки каталогу розміщуються сіткою у три колонки по 12 карток на сторінці» (GUI-20) суперечить «по 9 карток на сторінці» (F-40).</t>
        </is>
      </c>
      <c r="F4" s="12" t="inlineStr">
        <is>
          <t>GUI-20: «Картки каталогу розміщуються сіткою у три колонки по 9 карток на сторінці (три ряди); …» (решта без змін).</t>
        </is>
      </c>
      <c r="G4" s="12" t="inlineStr">
        <is>
          <t>Коротка К. (КТ)</t>
        </is>
      </c>
      <c r="H4" s="12" t="inlineStr">
        <is>
          <t>9 карток — як у F-40 і в demo (перевірено 01.10.2026).</t>
        </is>
      </c>
      <c r="J4" t="inlineStr">
        <is>
          <t>Несуперечливість</t>
        </is>
      </c>
      <c r="K4">
        <f>COUNTIF($C$2:$C$19,J4)</f>
        <v/>
      </c>
    </row>
    <row r="5">
      <c r="A5" s="12" t="n">
        <v>4</v>
      </c>
      <c r="B5" s="12" t="inlineStr">
        <is>
          <t>GUI-30 ↔ BL-10, BL-40</t>
        </is>
      </c>
      <c r="C5" s="12" t="inlineStr">
        <is>
          <t>Несуперечливість</t>
        </is>
      </c>
      <c r="D5" s="12" t="inlineStr">
        <is>
          <t>п. 2 — вимоги не суперечать одна одній</t>
        </is>
      </c>
      <c r="E5" s="12" t="inlineStr">
        <is>
          <t>«приймає значення від 0 до 100» (GUI-30) суперечить «qty — ціле число від 1 до 99 включно» (BL-10) і «встановлює нову кількість від 1 до 99 включно» (BL-40): інтерфейс дозволяє 0 і 100, які модуль відхиляє.</t>
        </is>
      </c>
      <c r="F5" s="12" t="inlineStr">
        <is>
          <t>GUI-30: «Поле «Quantity» на сторінці товару — числове, з кнопками «−» і «+» ліворуч і праворуч; приймає цілі значення від 1 до 99 включно; значення за замовчуванням — 1.»</t>
        </is>
      </c>
      <c r="G5" s="12" t="inlineStr">
        <is>
          <t>Коротка К. (КТ)</t>
        </is>
      </c>
      <c r="H5" s="12" t="n"/>
      <c r="J5" t="inlineStr">
        <is>
          <t>Простежуваність</t>
        </is>
      </c>
      <c r="K5">
        <f>COUNTIF($C$2:$C$19,J5)</f>
        <v/>
      </c>
    </row>
    <row r="6">
      <c r="A6" s="12" t="n">
        <v>5</v>
      </c>
      <c r="B6" s="12" t="inlineStr">
        <is>
          <t>F-120 ↔ GUI-40</t>
        </is>
      </c>
      <c r="C6" s="12" t="inlineStr">
        <is>
          <t>Несуперечливість</t>
        </is>
      </c>
      <c r="D6" s="12" t="inlineStr">
        <is>
          <t>п. 2 — вимоги не суперечать одна одній</t>
        </is>
      </c>
      <c r="E6" s="12" t="inlineStr">
        <is>
          <t>«Покупець може додати товар до списку обраного кнопкою «Add to favourites» без входу в систему» (F-120) суперечить GUI-40: «якщо покупець не увійшов у систему, після натискання виводиться повідомлення «Unauthorized, can not add product to your favorite list», і товар до обраного не додається»; також 1.3 («Список товарів, збережених зареєстрованим покупцем») і 2.1 (обране — лише зареєстрованому покупцю).</t>
        </is>
      </c>
      <c r="F6" s="12" t="inlineStr">
        <is>
          <t>F-120: «Зареєстрований покупець, який увійшов у систему, додає товар до списку обраного кнопкою «Add to favourites»; для неавторизованого користувача діє GUI-40. Список обраного доступний у кабінеті («My favorites»), де позицію можна видалити.»</t>
        </is>
      </c>
      <c r="G6" s="12" t="inlineStr">
        <is>
          <t>Коротка К. (КТ)</t>
        </is>
      </c>
      <c r="H6" s="12" t="inlineStr">
        <is>
          <t>крос — виправлення в F-120 (розд. 3); виявлено звіркою GUI-40 ↔ F-120.</t>
        </is>
      </c>
      <c r="J6" t="inlineStr">
        <is>
          <t>Здійсненність</t>
        </is>
      </c>
      <c r="K6">
        <f>COUNTIF($C$2:$C$19,J6)</f>
        <v/>
      </c>
    </row>
    <row r="7">
      <c r="A7" s="12" t="n">
        <v>6</v>
      </c>
      <c r="B7" s="12" t="inlineStr">
        <is>
          <t>GUI-50</t>
        </is>
      </c>
      <c r="C7" s="12" t="inlineStr">
        <is>
          <t>Однозначність</t>
        </is>
      </c>
      <c r="D7" s="12" t="inlineStr">
        <is>
          <t>п. 4 — вимога допускає єдину інтерпретацію</t>
        </is>
      </c>
      <c r="E7" s="12" t="inlineStr">
        <is>
          <t>«відображається біля відповідного поля або у верхній частині форми» — «або» дає два допустимі місця; очікуваний результат тест-кейсу неоднозначний, різні форми можуть поводитися по-різному.</t>
        </is>
      </c>
      <c r="F7" s="12" t="inlineStr">
        <is>
          <t>«Повідомлення про помилку валідації поля форми відображається текстом безпосередньо під відповідним полем; форма, що містить помилки, не надсилається.»</t>
        </is>
      </c>
      <c r="G7" s="12" t="inlineStr">
        <is>
          <t>Коротка К. (КТ)</t>
        </is>
      </c>
      <c r="H7" s="12" t="inlineStr">
        <is>
          <t>Місце виводу — потребує підтвердження замовником. Середня впевненість.</t>
        </is>
      </c>
      <c r="J7" t="inlineStr">
        <is>
          <t>Тестопридатність</t>
        </is>
      </c>
      <c r="K7">
        <f>COUNTIF($C$2:$C$19,J7)</f>
        <v/>
      </c>
    </row>
    <row r="8">
      <c r="A8" s="12" t="n">
        <v>7</v>
      </c>
      <c r="B8" s="12" t="inlineStr">
        <is>
          <t>GUI-60 (два рядки)</t>
        </is>
      </c>
      <c r="C8" s="12" t="inlineStr">
        <is>
          <t>Простежуваність</t>
        </is>
      </c>
      <c r="D8" s="12" t="inlineStr">
        <is>
          <t>п. 2 — усі вимоги мають унікальний ідентифікатор</t>
        </is>
      </c>
      <c r="E8" s="12" t="inlineStr">
        <is>
          <t>Дві різні вимоги мають однаковий ID: «GUI-60 Форма входу містить поля «Email address» та «Password»…» і «GUI-60 Форма реєстрації містить поля у такому порядку…».</t>
        </is>
      </c>
      <c r="F8" s="12" t="inlineStr">
        <is>
          <t>Залишити GUI-60 за формою входу; формі реєстрації присвоїти вільний проміжний ID GUI-65 (між GUI-60 і GUI-70); решту ID не змінювати.</t>
        </is>
      </c>
      <c r="G8" s="12" t="inlineStr">
        <is>
          <t>Коротка К. (КТ)</t>
        </is>
      </c>
      <c r="H8" s="12" t="n"/>
      <c r="J8" s="11" t="inlineStr">
        <is>
          <t>Разом</t>
        </is>
      </c>
      <c r="K8" s="11">
        <f>SUM(K2:K7)</f>
        <v/>
      </c>
    </row>
    <row r="9">
      <c r="A9" s="12" t="n">
        <v>8</v>
      </c>
      <c r="B9" s="12" t="inlineStr">
        <is>
          <t>GUI-70</t>
        </is>
      </c>
      <c r="C9" s="12" t="inlineStr">
        <is>
          <t>Однозначність</t>
        </is>
      </c>
      <c r="D9" s="12" t="inlineStr">
        <is>
          <t>п. 1, 4 — вимога має одне значення й допускає єдину інтерпретацію</t>
        </is>
      </c>
      <c r="E9" s="12" t="inlineStr">
        <is>
          <t>«Порожній кошик відображає текстове повідомлення замість таблиці» — не вказано, яке саме повідомлення; тест-кейс не має очікуваного результату.</t>
        </is>
      </c>
      <c r="F9" s="12" t="inlineStr">
        <is>
          <t>«Порожній кошик відображає замість таблиці текст «The cart is empty».»</t>
        </is>
      </c>
      <c r="G9" s="12" t="inlineStr">
        <is>
          <t>Коротка К. (КТ)</t>
        </is>
      </c>
      <c r="H9" s="12" t="inlineStr">
        <is>
          <t>Текст повідомлення — потребує підтвердження замовником. Середня впевненість.</t>
        </is>
      </c>
    </row>
    <row r="10">
      <c r="A10" s="12" t="n">
        <v>9</v>
      </c>
      <c r="B10" s="12" t="inlineStr">
        <is>
          <t>GUI-80</t>
        </is>
      </c>
      <c r="C10" s="12" t="inlineStr">
        <is>
          <t>Здійсненність</t>
        </is>
      </c>
      <c r="D10" s="12" t="inlineStr">
        <is>
          <t>єдиний пункт — технічні ресурси; залежність від систем, які продукт не контролює</t>
        </is>
      </c>
      <c r="E10" s="12" t="inlineStr">
        <is>
          <t>«…у роздільній здатності не менше 8K (7680×4320 пікселів) без стиснення і завантажуються не довше ніж за 50 мс кожне за будь-якого з'єднання з Інтернетом» — нестиснене 8K-зображення ≈ 100 МБ; завантаження за 50 мс потребує ≈ 16 Гбіт/с, а швидкість з'єднання користувача продукт не контролює.</t>
        </is>
      </c>
      <c r="F10" s="12" t="inlineStr">
        <is>
          <t>«Зображення товару на сторінці товару мають роздільну здатність не менше 1200×1200 пікселів, на картках каталогу — не менше 400×400 пікселів; за з'єднання 10 Мбіт/с зображення картки завантажується не довше ніж за 1 с.»</t>
        </is>
      </c>
      <c r="G10" s="12" t="inlineStr">
        <is>
          <t>Коротка К. (КТ)</t>
        </is>
      </c>
      <c r="H10" s="12" t="inlineStr">
        <is>
          <t>Значення — потребує підтвердження замовником.</t>
        </is>
      </c>
    </row>
    <row r="11">
      <c r="A11" s="12" t="n">
        <v>10</v>
      </c>
      <c r="B11" s="12" t="inlineStr">
        <is>
          <t>GUI-100</t>
        </is>
      </c>
      <c r="C11" s="12" t="inlineStr">
        <is>
          <t>Тестопридатність</t>
        </is>
      </c>
      <c r="D11" s="12" t="inlineStr">
        <is>
          <t>немає критерію «пройдено / не пройдено»; слова-маркери</t>
        </is>
      </c>
      <c r="E11" s="12" t="inlineStr">
        <is>
          <t>«Кольорова схема інтерфейсу є приємною і сучасною, а шрифти — легкими для читання на всіх сторінках» — «приємною», «сучасною», «легкими для читання» неможливо перевірити однозначно.</t>
        </is>
      </c>
      <c r="F11" s="12" t="inlineStr">
        <is>
          <t>«На всіх сторінках контраст основного тексту до фону — не менше 4,5:1, розмір шрифту основного тексту — не менше 14 пікселів.»</t>
        </is>
      </c>
      <c r="G11" s="12" t="inlineStr">
        <is>
          <t>Коротка К. (КТ)</t>
        </is>
      </c>
      <c r="H11" s="12" t="inlineStr">
        <is>
          <t>Значення — потребує підтвердження замовником.</t>
        </is>
      </c>
    </row>
    <row r="12">
      <c r="A12" s="12" t="n">
        <v>11</v>
      </c>
      <c r="B12" s="12" t="inlineStr">
        <is>
          <t>P-10</t>
        </is>
      </c>
      <c r="C12" s="12" t="inlineStr">
        <is>
          <t>Здійсненність</t>
        </is>
      </c>
      <c r="D12" s="12" t="inlineStr">
        <is>
          <t>єдиний пункт — залежність від систем, які продукт не контролює</t>
        </is>
      </c>
      <c r="E12" s="12" t="inlineStr">
        <is>
          <t>«…повністю завантажується не довше ніж за 0,1 с за будь-якого з'єднання з Інтернетом і на будь-якому пристрої» — час залежить від з'єднання й пристрою користувача; до того ж P-20 дозволяє відповідь API каталогу до 1 с, тож сторінка з даними API не завантажиться за 0,1 с.</t>
        </is>
      </c>
      <c r="F12" s="12" t="inlineStr">
        <is>
          <t>«Сторінка каталогу повністю завантажується не довше ніж за 3 с у 95 % вимірювань у Chrome 120 на настільному комп'ютері за з'єднання 10 Мбіт/с (20 вимірювань інструментом Lighthouse).»</t>
        </is>
      </c>
      <c r="G12" s="12" t="inlineStr">
        <is>
          <t>Коротка К. (КТ)</t>
        </is>
      </c>
      <c r="H12" s="12" t="inlineStr">
        <is>
          <t>Значення — потребує підтвердження замовником.</t>
        </is>
      </c>
    </row>
    <row r="13">
      <c r="A13" s="12" t="n">
        <v>12</v>
      </c>
      <c r="B13" s="12" t="inlineStr">
        <is>
          <t>S-10</t>
        </is>
      </c>
      <c r="C13" s="12" t="inlineStr">
        <is>
          <t>Тестопридатність</t>
        </is>
      </c>
      <c r="D13" s="12" t="inlineStr">
        <is>
          <t>немає критерію «пройдено / не пройдено»; слово-маркер «надійно»</t>
        </is>
      </c>
      <c r="E13" s="12" t="inlineStr">
        <is>
          <t>«Дані покупців надійно захищені, а система не містить вразливостей» — що спостерігати, невідомо; відсутність вразливостей неможливо довести тестом.</t>
        </is>
      </c>
      <c r="F13" s="12" t="inlineStr">
        <is>
          <t>«Паролі покупців зберігаються лише у вигляді хешу bcrypt; сторінки й API доступні лише через HTTPS (запит по HTTP перенаправляється на HTTPS); запит до даних покупця Б з токеном покупця А повертає код 403.»</t>
        </is>
      </c>
      <c r="G13" s="12" t="inlineStr">
        <is>
          <t>Коротка К. (КТ)</t>
        </is>
      </c>
      <c r="H13" s="12" t="inlineStr">
        <is>
          <t>Перелік заходів — потребує підтвердження замовником. «Не містить вразливостей» порушує й здійсненність, але головний критерій — тестопридатність.</t>
        </is>
      </c>
    </row>
    <row r="14">
      <c r="A14" s="12" t="n">
        <v>13</v>
      </c>
      <c r="B14" s="12" t="inlineStr">
        <is>
          <t>U-10</t>
        </is>
      </c>
      <c r="C14" s="12" t="inlineStr">
        <is>
          <t>Тестопридатність</t>
        </is>
      </c>
      <c r="D14" s="12" t="inlineStr">
        <is>
          <t>немає критерію «пройдено / не пройдено»; слова-маркери «інтуїтивно», «зручно»</t>
        </is>
      </c>
      <c r="E14" s="12" t="inlineStr">
        <is>
          <t>«Інтерфейс є інтуїтивно зрозумілим і зручним для всіх категорій користувачів».</t>
        </is>
      </c>
      <c r="F14" s="12" t="inlineStr">
        <is>
          <t>«Новий користувач без інструкції знаходить товар пошуком, додає його в кошик і доходить до кроку «Payment» не довше ніж за 3 хв і не більше ніж з однією помилкою; перевірка на 5 учасниках, критерій — 4 з 5.»</t>
        </is>
      </c>
      <c r="G14" s="12" t="inlineStr">
        <is>
          <t>Коротка К. (КТ)</t>
        </is>
      </c>
      <c r="H14" s="12" t="inlineStr">
        <is>
          <t>Значення — потребує підтвердження замовником.</t>
        </is>
      </c>
    </row>
    <row r="15">
      <c r="A15" s="12" t="n">
        <v>14</v>
      </c>
      <c r="B15" s="12" t="inlineStr">
        <is>
          <t>розд. 6, рядок 7 (між U-20 і D-10), без ID</t>
        </is>
      </c>
      <c r="C15" s="12" t="inlineStr">
        <is>
          <t>Простежуваність</t>
        </is>
      </c>
      <c r="D15" s="12" t="inlineStr">
        <is>
          <t>п. 2 — усі вимоги мають унікальний ідентифікатор</t>
        </is>
      </c>
      <c r="E15" s="12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пікселі)» — рядок вимоги без ідентифікатора.</t>
        </is>
      </c>
      <c r="F15" s="12" t="inlineStr">
        <is>
          <t>Присвоїти вільний ID U-30 (наступний у групі U, крок 10).</t>
        </is>
      </c>
      <c r="G15" s="12" t="inlineStr">
        <is>
          <t>Коротка К. (КТ)</t>
        </is>
      </c>
      <c r="H15" s="12" t="inlineStr">
        <is>
          <t>Зміст рядка суперечить 2.2 — див. рядок 1.</t>
        </is>
      </c>
    </row>
    <row r="16">
      <c r="A16" s="12" t="n">
        <v>15</v>
      </c>
      <c r="B16" s="12" t="inlineStr">
        <is>
          <t>D-10</t>
        </is>
      </c>
      <c r="C16" s="12" t="inlineStr">
        <is>
          <t>Повнота</t>
        </is>
      </c>
      <c r="D16" s="12" t="inlineStr">
        <is>
          <t>п. 3 — немає посилань на неіснуючі документи</t>
        </is>
      </c>
      <c r="E16" s="12" t="inlineStr">
        <is>
          <t>«розділ про програму лояльності укладено згідно з «Регламентом програми лояльності ШопЛайн-ЛП-2025», розділ 4» — цього документа немає в 1.4 «Посилання».</t>
        </is>
      </c>
      <c r="F16" s="12" t="inlineStr">
        <is>
          <t>«…розділ про програму лояльності описує правила BL-50 – BL-80 цієї специфікації (знижка за обсяг, вартість доставки, промокоди).»</t>
        </is>
      </c>
      <c r="G16" s="12" t="inlineStr">
        <is>
          <t>Коротка К. (КТ)</t>
        </is>
      </c>
      <c r="H16" s="12" t="inlineStr">
        <is>
          <t>Якщо регламент існує — додати його до 1.4 (потребує підтвердження замовником).</t>
        </is>
      </c>
    </row>
    <row r="17">
      <c r="A17" s="12" t="n">
        <v>16</v>
      </c>
      <c r="B17" s="12" t="inlineStr">
        <is>
          <t>F-110 ↔ BL-60</t>
        </is>
      </c>
      <c r="C17" s="12" t="inlineStr">
        <is>
          <t>Несуперечливість</t>
        </is>
      </c>
      <c r="D17" s="12" t="inlineStr">
        <is>
          <t>п. 2 — вимоги не суперечать одна одній</t>
        </is>
      </c>
      <c r="E17" s="12" t="inlineStr">
        <is>
          <t>«вартість доставки: 120 грн, а для замовлень від 2000 грн доставка безкоштовна» (F-110) суперечить «0.00 грн, якщо сума після знижки не менша за 1500 грн; інакше 120.00 грн» (BL-60): різний поріг (2000 / 1500) і різна база (сума замовлення / сума після знижки).</t>
        </is>
      </c>
      <c r="F17" s="12" t="inlineStr">
        <is>
          <t>F-110: «…знижку за промокодом і вартість доставки, обчислену за BL-60.»</t>
        </is>
      </c>
      <c r="G17" s="12" t="inlineStr">
        <is>
          <t>Коротка К. (КТ)</t>
        </is>
      </c>
      <c r="H17" s="12" t="inlineStr">
        <is>
          <t>крос (розд. 3, 5). Правильний поріг — потребує підтвердження замовником.</t>
        </is>
      </c>
    </row>
    <row r="18">
      <c r="A18" s="12" t="n">
        <v>17</v>
      </c>
      <c r="B18" s="12" t="inlineStr">
        <is>
          <t>F-100</t>
        </is>
      </c>
      <c r="C18" s="12" t="inlineStr">
        <is>
          <t>Повнота</t>
        </is>
      </c>
      <c r="D18" s="12" t="inlineStr">
        <is>
          <t>п. 3 (і п. 1) — немає посилань на неіснуюче</t>
        </is>
      </c>
      <c r="E18" s="12" t="inlineStr">
        <is>
          <t>«Обмеження на кількість одиниць у рядку визначає вимога BL-25» — вимоги BL-25 у специфікації немає.</t>
        </is>
      </c>
      <c r="F18" s="12" t="inlineStr">
        <is>
          <t>«Обмеження на кількість одиниць у рядку (від 1 до 99) визначають вимоги BL-10, BL-20 і BL-40.»</t>
        </is>
      </c>
      <c r="G18" s="12" t="inlineStr">
        <is>
          <t>Коротка К. (КТ)</t>
        </is>
      </c>
      <c r="H18" s="12" t="inlineStr">
        <is>
          <t>крос (розд. 3).</t>
        </is>
      </c>
    </row>
    <row r="19">
      <c r="A19" s="12" t="n">
        <v>18</v>
      </c>
      <c r="B19" s="12" t="inlineStr">
        <is>
          <t>BL-30 ↔ BL-20</t>
        </is>
      </c>
      <c r="C19" s="12" t="inlineStr">
        <is>
          <t>Простежуваність</t>
        </is>
      </c>
      <c r="D19" s="12" t="inlineStr">
        <is>
          <t>п. 1, 5 — вимоги унікальні й не перекриваються за змістом</t>
        </is>
      </c>
      <c r="E19" s="12" t="inlineStr">
        <is>
          <t>BL-30 «Якщо в кошику вже є товар із таким самим артикулом, система не додає окремий рядок, а збільшує кількість у наявному рядку на вказане значення» повторює BL-20 «Повторне додавання позиції з тим самим sku не створює новий рядок, а збільшує кількість наявного рядка на qty».</t>
        </is>
      </c>
      <c r="F19" s="12" t="inlineStr">
        <is>
          <t>Залишити BL-20; BL-30 вилучити із записом у журналі змін (номер не перевикористовувати), посилання на BL-30 замінити на BL-20.</t>
        </is>
      </c>
      <c r="G19" s="12" t="inlineStr">
        <is>
          <t>Коротка К. (КТ)</t>
        </is>
      </c>
      <c r="H19" s="12" t="inlineStr">
        <is>
          <t>крос (розд. 5).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46" customWidth="1" min="4" max="4"/>
    <col width="52" customWidth="1" min="5" max="5"/>
    <col width="62" customWidth="1" min="6" max="6"/>
    <col width="18" customWidth="1" min="7" max="7"/>
    <col width="13" customWidth="1" min="8" max="8"/>
    <col width="22" customWidth="1" min="9" max="9"/>
    <col width="12" customWidth="1" min="10" max="10"/>
  </cols>
  <sheetData>
    <row r="1">
      <c r="A1" s="13" t="inlineStr">
        <is>
          <t>№</t>
        </is>
      </c>
      <c r="B1" s="13" t="inlineStr">
        <is>
          <t>ID/локатор</t>
        </is>
      </c>
      <c r="C1" s="13" t="inlineStr">
        <is>
          <t>Критерій</t>
        </is>
      </c>
      <c r="D1" s="13" t="inlineStr">
        <is>
          <t>Пункт чек-листа</t>
        </is>
      </c>
      <c r="E1" s="13" t="inlineStr">
        <is>
          <t>Цитата</t>
        </is>
      </c>
      <c r="F1" s="13" t="inlineStr">
        <is>
          <t>Виправлення</t>
        </is>
      </c>
      <c r="G1" s="13" t="inlineStr">
        <is>
          <t>Хто знайшов</t>
        </is>
      </c>
      <c r="I1" s="14" t="inlineStr">
        <is>
          <t>Критерій</t>
        </is>
      </c>
      <c r="J1" s="14" t="inlineStr">
        <is>
          <t>Рядків</t>
        </is>
      </c>
    </row>
    <row r="2">
      <c r="A2" s="15" t="n">
        <v>1</v>
      </c>
      <c r="B2" s="16" t="inlineStr">
        <is>
          <t>GUI-20 ↔ F-40</t>
        </is>
      </c>
      <c r="C2" s="16" t="inlineStr">
        <is>
          <t>Несуперечливість</t>
        </is>
      </c>
      <c r="D2" s="16" t="inlineStr">
        <is>
          <t>п. 2 (вимоги не суперечать одна одній)</t>
        </is>
      </c>
      <c r="E2" s="16" t="inlineStr">
        <is>
          <t>«Картки каталогу розміщуються сіткою у три колонки по 12 карток на сторінці» — суперечить F-40 («по 9 карток на сторінці, з посторінковою навігацією»).</t>
        </is>
      </c>
      <c r="F2" s="16" t="inlineStr">
        <is>
          <t>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"Out of stock".»</t>
        </is>
      </c>
      <c r="G2" s="15" t="inlineStr">
        <is>
          <t>Дрєпіна А. (ІТ)</t>
        </is>
      </c>
      <c r="I2" s="17" t="inlineStr">
        <is>
          <t>Однозначність</t>
        </is>
      </c>
      <c r="J2" s="18">
        <f>COUNTIF($C$2:$C$17,I2)</f>
        <v/>
      </c>
    </row>
    <row r="3">
      <c r="A3" s="15" t="n">
        <v>2</v>
      </c>
      <c r="B3" s="16" t="inlineStr">
        <is>
          <t>GUI-30 ↔ BL-10</t>
        </is>
      </c>
      <c r="C3" s="16" t="inlineStr">
        <is>
          <t>Несуперечливість</t>
        </is>
      </c>
      <c r="D3" s="16" t="inlineStr">
        <is>
          <t>п. 2 (вимоги не суперечать одна одній)</t>
        </is>
      </c>
      <c r="E3" s="16" t="inlineStr">
        <is>
          <t>«приймає значення від 0 до 100; значення за замовчуванням — 1» — суперечить BL-10 («qty — ціле число від 1 до 99 включно»). Поле дозволяє ввести 0 та 100, що призведе до невідповідності з модулем бізнес-логіки.</t>
        </is>
      </c>
      <c r="F3" s="16" t="inlineStr">
        <is>
          <t>«Поле "Quantity" на сторінці товару числове, з кнопками "-" і "+" ліворуч і праворуч; приймає значення від 1 до 99 включно; значення за замовчуванням — 1.»</t>
        </is>
      </c>
      <c r="G3" s="15" t="inlineStr">
        <is>
          <t>Дрєпіна А. (ІТ)</t>
        </is>
      </c>
      <c r="I3" s="17" t="inlineStr">
        <is>
          <t>Повнота</t>
        </is>
      </c>
      <c r="J3" s="18">
        <f>COUNTIF($C$2:$C$17,I3)</f>
        <v/>
      </c>
    </row>
    <row r="4">
      <c r="A4" s="15" t="n">
        <v>3</v>
      </c>
      <c r="B4" s="16" t="inlineStr">
        <is>
          <t>F-120 ↔ GUI-40</t>
        </is>
      </c>
      <c r="C4" s="16" t="inlineStr">
        <is>
          <t>Несуперечливість</t>
        </is>
      </c>
      <c r="D4" s="16" t="inlineStr">
        <is>
          <t>п. 2 (вимоги не суперечать одна одній)</t>
        </is>
      </c>
      <c r="E4" s="16" t="inlineStr">
        <is>
          <t>«Покупець може додати товар до списку обраного кнопкою "Add to favourites" без входу в систему» — суперечить GUI-40 («якщо покупець не увійшов у систему... виводиться повідомлення "Unauthorized...", і товар до обраного не додається»), а також розділам 1.3 («Обране — список товарів, збережених зареєстрованим покупцем») та 2.1 (роль «Гість» не має обраного).</t>
        </is>
      </c>
      <c r="F4" s="16" t="inlineStr">
        <is>
          <t>Нова редакція F-120: «Покупець може додати товар до списку обраного кнопкою "Add to favourites" лише після входу в систему; список обраного доступний у кабінеті ("My favorites"), де позицію можна видалити (потребує підтвердження замовником).»</t>
        </is>
      </c>
      <c r="G4" s="15" t="inlineStr">
        <is>
          <t>Дрєпіна А. (ІТ)</t>
        </is>
      </c>
      <c r="I4" s="17" t="inlineStr">
        <is>
          <t>Несуперечливість</t>
        </is>
      </c>
      <c r="J4" s="18">
        <f>COUNTIF($C$2:$C$17,I4)</f>
        <v/>
      </c>
    </row>
    <row r="5">
      <c r="A5" s="15" t="n">
        <v>4</v>
      </c>
      <c r="B5" s="16" t="inlineStr">
        <is>
          <t>GUI-60 (форма реєстрації)</t>
        </is>
      </c>
      <c r="C5" s="16" t="inlineStr">
        <is>
          <t>Простежуваність</t>
        </is>
      </c>
      <c r="D5" s="16" t="inlineStr">
        <is>
          <t>п. 2 (усі вимоги мають унікальний ідентифікатор)</t>
        </is>
      </c>
      <c r="E5" s="16" t="inlineStr">
        <is>
          <t>«GUI-60 Форма реєстрації містить поля у такому порядку: First name, Last name...» — ідентифікатор GUI-60 продубльовано для двох різних вимог (форма входу та форма реєстрації).</t>
        </is>
      </c>
      <c r="F5" s="16" t="inlineStr">
        <is>
          <t>Присвоїти формі реєстрації унікальний ідентифікатор «GUI-65» (крок 5 між GUI-60 та GUI-70): «GUI-65 Форма реєстрації містить поля у такому порядку: First name, Last name, Date of Birth, Country, Postal code, House number, Street, City, State, Phone, Email address, Password; під полем пароля виводяться перелік правил для пароля та індикатор надійності...»</t>
        </is>
      </c>
      <c r="G5" s="15" t="inlineStr">
        <is>
          <t>Дрєпіна А. (ІТ)</t>
        </is>
      </c>
      <c r="I5" s="17" t="inlineStr">
        <is>
          <t>Простежуваність</t>
        </is>
      </c>
      <c r="J5" s="18">
        <f>COUNTIF($C$2:$C$17,I5)</f>
        <v/>
      </c>
    </row>
    <row r="6">
      <c r="A6" s="15" t="n">
        <v>5</v>
      </c>
      <c r="B6" s="16" t="inlineStr">
        <is>
          <t>GUI-80</t>
        </is>
      </c>
      <c r="C6" s="16" t="inlineStr">
        <is>
          <t>Здійсненність</t>
        </is>
      </c>
      <c r="D6" s="16" t="inlineStr">
        <is>
          <t>п. 1 (вимоги здійсненні з погляду технічних ресурсів та фізичних обмежень мережі)</t>
        </is>
      </c>
      <c r="E6" s="16" t="inlineStr">
        <is>
          <t>«у роздільній здатності не менше 8К (7680x4320 пікселів) без стиснення і завантажуються не довше ніж за 50 мс кожне за будь-якого з'єднання з Інтернетом» — фізично й технічно нездійсненно: нестиснене зображення такої роздільності важить десятки мегабайт і фізично не завантажиться за 50 мс через затримки мережі (RTT).</t>
        </is>
      </c>
      <c r="F6" s="16" t="inlineStr">
        <is>
          <t>«Зображення товарів на картках каталогу і на сторінці товару оптимізуються для веб-середовища (роздільна здатність до 800x800 пікселів, формат WebP або JPEG, розмір до 250 КБ) і завантажуються не довше ніж за 1,5 с при швидкості підключення від 10 Мбіт/с (потребує підтвердження замовником).»</t>
        </is>
      </c>
      <c r="G6" s="15" t="inlineStr">
        <is>
          <t>Дрєпіна А. (ІТ)</t>
        </is>
      </c>
      <c r="I6" s="17" t="inlineStr">
        <is>
          <t>Здійсненність</t>
        </is>
      </c>
      <c r="J6" s="18">
        <f>COUNTIF($C$2:$C$17,I6)</f>
        <v/>
      </c>
    </row>
    <row r="7">
      <c r="A7" s="15" t="n">
        <v>6</v>
      </c>
      <c r="B7" s="16" t="inlineStr">
        <is>
          <t>GUI-100</t>
        </is>
      </c>
      <c r="C7" s="16" t="inlineStr">
        <is>
          <t>Тестопридатність</t>
        </is>
      </c>
      <c r="D7" s="16" t="inlineStr">
        <is>
          <t>п. 1 (бракує числа або об'єктивного способу спостереження; суб'єктивні оцінки)</t>
        </is>
      </c>
      <c r="E7" s="16" t="inlineStr">
        <is>
          <t>«Кольорова схема інтерфейсу є приємною і сучасною, а шрифти — легкими для читання на всіх сторінках» — суб'єктивні неконкретні маркери («приємною», «сучасною», «легкими для читання»), результат яких неможливо об'єктивно перевірити як Pass/Fail.</t>
        </is>
      </c>
      <c r="F7" s="16" t="inlineStr">
        <is>
          <t>«Кольорова схема інтерфейсу забезпечує коефіцієнт контрастності тексту щодо фону не менше 4.5:1 для основного тексту та не менше 3:1 для великих елементів за стандартом WCAG 2.1 AA; розмір основного шрифту становить не менше 14px (потребує підтвердження замовником).»</t>
        </is>
      </c>
      <c r="G7" s="15" t="inlineStr">
        <is>
          <t>Дрєпіна А. (ІТ)</t>
        </is>
      </c>
      <c r="I7" s="17" t="inlineStr">
        <is>
          <t>Тестопридатність</t>
        </is>
      </c>
      <c r="J7" s="18">
        <f>COUNTIF($C$2:$C$17,I7)</f>
        <v/>
      </c>
    </row>
    <row r="8">
      <c r="A8" s="15" t="n">
        <v>7</v>
      </c>
      <c r="B8" s="16" t="inlineStr">
        <is>
          <t>BL-10</t>
        </is>
      </c>
      <c r="C8" s="16" t="inlineStr">
        <is>
          <t>Однозначність</t>
        </is>
      </c>
      <c r="D8" s="16" t="inlineStr">
        <is>
          <t>п. 4 (допускає єдину інтерпретацію; правило перевірки межі до чи після округлення)</t>
        </is>
      </c>
      <c r="E8" s="16" t="inlineStr">
        <is>
          <t>«unitPrice — сума в гривнях, строго більша за 0; sku — непорожній рядок... Ціна зберігається з округленням до копійок (HALF_UP).» — не визначено однозначно: перевірка умови «unitPrice &gt; 0» виконується ДО чи ПІСЛЯ округлення за правилом HALF_UP (наприклад, значення 0.004 строго більше 0, але після округлення HALF_UP перетворюється на 0.00 грн).</t>
        </is>
      </c>
      <c r="F8" s="16" t="inlineStr">
        <is>
          <t>«Cart.addItem(sku, name, unitPrice, qty) додає позицію до кошика. Допустимі значення: qty — ціле число від 1 до 99 включно; unitPrice — сума в гривнях, яка після обов'язкового округлення за правилом HALF_UP до 2 знаків після коми є строго більшою за 0.00 грн (перевірка "ціна &gt; 0" виконується після нормалізації/округлення); sku — непорожній рядок. За порушення будь-якої умови метод кидає IllegalArgumentException, а вміст кошика не змінюється.»</t>
        </is>
      </c>
      <c r="G8" s="15" t="inlineStr">
        <is>
          <t>Дрєпіна А. (ІТ)</t>
        </is>
      </c>
      <c r="I8" s="19" t="inlineStr">
        <is>
          <t>Разом</t>
        </is>
      </c>
      <c r="J8" s="20">
        <f>SUM(J2:J7)</f>
        <v/>
      </c>
    </row>
    <row r="9">
      <c r="A9" s="15" t="n">
        <v>8</v>
      </c>
      <c r="B9" s="16" t="inlineStr">
        <is>
          <t>BL-30</t>
        </is>
      </c>
      <c r="C9" s="16" t="inlineStr">
        <is>
          <t>Простежуваність</t>
        </is>
      </c>
      <c r="D9" s="16" t="inlineStr">
        <is>
          <t>п. 1 (вимоги унікальні й не повторюються за змістом)</t>
        </is>
      </c>
      <c r="E9" s="16" t="inlineStr">
        <is>
          <t>«Якщо в кошику вже є товар із таким самим артикулом, система не додає окремий рядок, а збільшує кількість у наявному рядку на вказане значення.» — вимога повністю дублює бізнес-правило повторного додавання з BL-20.</t>
        </is>
      </c>
      <c r="F9" s="16" t="inlineStr">
        <is>
          <t>Вилучити вимогу BL-30 як надлишковий дублікат BL-20. Залишити ідентифікатор BL-30 як вільний («дірка» в нумерації без зсуву інших ID згідно з правилами трасування).</t>
        </is>
      </c>
      <c r="G9" s="15" t="inlineStr">
        <is>
          <t>Дрєпіна А. (ІТ)</t>
        </is>
      </c>
    </row>
    <row r="10">
      <c r="A10" s="15" t="n">
        <v>9</v>
      </c>
      <c r="B10" s="16" t="inlineStr">
        <is>
          <t>GUI-50</t>
        </is>
      </c>
      <c r="C10" s="16" t="inlineStr">
        <is>
          <t>Однозначність</t>
        </is>
      </c>
      <c r="D10" s="16" t="inlineStr">
        <is>
          <t>п. 1, 4 (допускає єдину інтерпретацію; частка «або» дає два різні очікувані результати)</t>
        </is>
      </c>
      <c r="E10" s="16" t="inlineStr">
        <is>
          <t>«Повідомлення про помилку валідації поля форми відображається біля відповідного поля або у верхній частині форми; форма, що містить помилки, не надсилається.» — неоднозначність у розташуванні: частка «або» допускає дві взаємовиключні поведінки інтерфейсу без визначення конкретного правила, коли і де саме показується повідомлення.</t>
        </is>
      </c>
      <c r="F10" s="16" t="inlineStr">
        <is>
          <t>«Повідомлення про помилку валідації поля форми відображається безпосередньо під відповідним полем введення червоним кольором із текстовою міткою; форма, що містить хоча б одне невалідне поле, блокує відправку (потребує підтвердження замовником).»</t>
        </is>
      </c>
      <c r="G10" s="15" t="inlineStr">
        <is>
          <t>Дрєпіна А. (ІТ)</t>
        </is>
      </c>
    </row>
    <row r="11">
      <c r="A11" s="15" t="n">
        <v>10</v>
      </c>
      <c r="B11" s="16" t="inlineStr">
        <is>
          <t>BL-60 ↔ F-110</t>
        </is>
      </c>
      <c r="C11" s="16" t="inlineStr">
        <is>
          <t>Несуперечливість</t>
        </is>
      </c>
      <c r="D11" s="16" t="inlineStr">
        <is>
          <t>п. 2 (вимоги не суперечать одна одній)</t>
        </is>
      </c>
      <c r="E11" s="16" t="inlineStr">
        <is>
          <t>«DiscountCalculator.shippingFee (subtotalAfterDiscount) повертає вартість доставки: 0.00 грн, якщо сума після знижки не менша за 1500 грн; інакше 120.00 грн.» — прямо суперечить вимозі F-110 («а для замовлень від 2000 грн доставка безкоштовна»).</t>
        </is>
      </c>
      <c r="F11" s="16" t="inlineStr">
        <is>
          <t>Нова редакція F-110: «Оформлення замовлення складається з чотирьох кроків: «Cart» → «Sign in» → «Billing Address» → «Payment». Неавторизований покупець на кроці 2 входить або реєструється; на кроці 3 підтверджує адресу доставки (вулиця, місто, область, країна, поштовий індекс); на кроці 4 обирає спосіб оплати (банківський переказ, оплата при отриманні, кредитна картка, «купити зараз заплатити пізніше», подарункова картка) і підтверджує замовлення. Підсумок замовлення містить суму товарів, знижку за обсяг, знижку за промокодом і вартість доставки: 120 грн; якщо сума замовлення після знижки за обсяг становить не менше 1500 грн, доставка безкоштовна (потребує підтвердження замовником). Після підтвердження система показує повідомлення з номером рахунку-інвойсу.»</t>
        </is>
      </c>
      <c r="G11" s="15" t="inlineStr">
        <is>
          <t>Дрєпіна А. (ІТ)</t>
        </is>
      </c>
    </row>
    <row r="12">
      <c r="A12" s="15" t="n">
        <v>11</v>
      </c>
      <c r="B12" s="16" t="inlineStr">
        <is>
          <t>BL-80</t>
        </is>
      </c>
      <c r="C12" s="16" t="inlineStr">
        <is>
          <t>Здійсненність</t>
        </is>
      </c>
      <c r="D12" s="16" t="inlineStr">
        <is>
          <t>п. 1 (виконання не залежить від систем, які продукт не контролює)</t>
        </is>
      </c>
      <c r="E12" s="16" t="inlineStr">
        <is>
          <t>«Перед застосуванням одноразового коду система перевіряє, що цей код не було використано у жодному іншому інтернет-магазині, зокрема сторонніх, і в такому разі відхиляє його.» — технічно й юридично нездійсненно (модуль не має доступу до сторонніх систем).</t>
        </is>
      </c>
      <c r="F12" s="16" t="inlineStr">
        <is>
          <t>«Перед застосуванням одноразового коду PromoCodeValidator перевіряє ознаку одноразовості та ознаку використання переданого запису PromoCode; якщо код уже позначено як використаний, метод відхиляє його та кидає IllegalArgumentException.»</t>
        </is>
      </c>
      <c r="G12" s="15" t="inlineStr">
        <is>
          <t>Дрєпіна А. (ІТ)</t>
        </is>
      </c>
    </row>
    <row r="13">
      <c r="A13" s="15" t="n">
        <v>12</v>
      </c>
      <c r="B13" s="16" t="inlineStr">
        <is>
          <t>P-10</t>
        </is>
      </c>
      <c r="C13" s="16" t="inlineStr">
        <is>
          <t>Здійсненність</t>
        </is>
      </c>
      <c r="D13" s="16" t="inlineStr">
        <is>
          <t>п. 1 (здійсненність з погляду фізичних обмежень передачі даних у мережі)</t>
        </is>
      </c>
      <c r="E13" s="16" t="inlineStr">
        <is>
          <t>«Сторінка каталогу повністю завантажується не довше ніж за 0,1 с за будь-якого з'єднання з Інтернетом і на будь-якому пристрої.» — фізично нездійсненно (0,1 с менше або на рівні мінімальної затримки RTT мобільних мереж лише на встановлення з'єднання).</t>
        </is>
      </c>
      <c r="F13" s="16" t="inlineStr">
        <is>
          <t>«Час повного завантаження сторінки каталогу на настільних пристроях не перевищує 2,0 с при швидкості широкосмугового інтернет-з'єднання від 15 Мбіт/с; показник First Contentful Paint (FCP) становить не більше 1,0 с (потребує підтвердження замовником).»</t>
        </is>
      </c>
      <c r="G13" s="15" t="inlineStr">
        <is>
          <t>Дрєпіна А. (ІТ)</t>
        </is>
      </c>
    </row>
    <row r="14">
      <c r="A14" s="15" t="n">
        <v>13</v>
      </c>
      <c r="B14" s="16" t="inlineStr">
        <is>
          <t>S-10</t>
        </is>
      </c>
      <c r="C14" s="16" t="inlineStr">
        <is>
          <t>Тестопридатність</t>
        </is>
      </c>
      <c r="D14" s="16" t="inlineStr">
        <is>
          <t>п. 1 (бракує способу спостереження, критерію Pass/Fail; неконкретне твердження)</t>
        </is>
      </c>
      <c r="E14" s="16" t="inlineStr">
        <is>
          <t>«Дані покупців надійно захищені, а система не містить вразливостей.» — розпливчасті нетестопридатні твердження («надійно захищені», «не містить вразливостей»).</t>
        </is>
      </c>
      <c r="F14" s="16" t="inlineStr">
        <is>
          <t>«Усі канали передачі персональних даних покупців захищені протоколом HTTPS (TLS 1.3); паролі зберігаються в базі даних виключно у хешованому вигляді (алгоритм bcrypt із сіллю); за результатами звіту сканування безпеки на локальному тестовому стенді розробників (на публічному demo сканування не проводиться) у релізі відсутні вразливості категорій Critical та High (потребує підтвердження замовником).»</t>
        </is>
      </c>
      <c r="G14" s="15" t="inlineStr">
        <is>
          <t>Дрєпіна А. (ІТ)</t>
        </is>
      </c>
    </row>
    <row r="15">
      <c r="A15" s="15" t="n">
        <v>14</v>
      </c>
      <c r="B15" s="16" t="inlineStr">
        <is>
          <t>U-10</t>
        </is>
      </c>
      <c r="C15" s="16" t="inlineStr">
        <is>
          <t>Тестопридатність</t>
        </is>
      </c>
      <c r="D15" s="16" t="inlineStr">
        <is>
          <t>п. 1 (бракує числа або вимірюваного значення; слова-маркери нетестопридатності)</t>
        </is>
      </c>
      <c r="E15" s="16" t="inlineStr">
        <is>
          <t>«Інтерфейс є інтуїтивно зрозумілим і зручним для всіх категорій користувачів.» — пряме використання заборонених суб'єктивних слів-маркерів «інтуїтивно зрозумілий» та «зручний».</t>
        </is>
      </c>
      <c r="F15" s="16" t="inlineStr">
        <is>
          <t>«Новий користувач без попереднього інструктажу успішно проходить наскрізний чекаут не довше ніж за 3 хвилини; показник Task Success Rate становить не менше 90% при вибірці з 10 респондентів (потребує підтвердження замовником).»</t>
        </is>
      </c>
      <c r="G15" s="15" t="inlineStr">
        <is>
          <t>Дрєпіна А. (ІТ)</t>
        </is>
      </c>
    </row>
    <row r="16">
      <c r="A16" s="15" t="n">
        <v>15</v>
      </c>
      <c r="B16" s="16" t="inlineStr">
        <is>
          <t>Розділ 6, між U-20 та D-10</t>
        </is>
      </c>
      <c r="C16" s="16" t="inlineStr">
        <is>
          <t>Простежуваність</t>
        </is>
      </c>
      <c r="D16" s="16" t="inlineStr">
        <is>
          <t>п. 2 (усі вимоги мають унікальний ідентифікатор; вимога не має ID)</t>
        </is>
      </c>
      <c r="E16" s="16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пікселі).» — вимога не має ідентифікатора в колонці ID.</t>
        </is>
      </c>
      <c r="F16" s="16" t="inlineStr">
        <is>
          <t>Присвоїти вимозі унікальний ідентифікатор «U-30» (крок 10 після U-20 у групі Usability): «U-30 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пікселі).»</t>
        </is>
      </c>
      <c r="G16" s="15" t="inlineStr">
        <is>
          <t>Дрєпіна А. (ІТ)</t>
        </is>
      </c>
    </row>
    <row r="17">
      <c r="A17" s="15" t="n">
        <v>16</v>
      </c>
      <c r="B17" s="16" t="inlineStr">
        <is>
          <t>D-10</t>
        </is>
      </c>
      <c r="C17" s="16" t="inlineStr">
        <is>
          <t>Повнота</t>
        </is>
      </c>
      <c r="D17" s="16" t="inlineStr">
        <is>
          <t>п. 3 (немає посилань на неіснуючі документи або регламенти)</t>
        </is>
      </c>
      <c r="E17" s="16" t="inlineStr">
        <is>
          <t>«розділ про програму лояльності укладено згідно з "Регламентом програми лояльності ШопЛайн-ЛП-2025", розділ 4.» — посилання на неіснуючий зовнішній документ (у розділі 1.4 він відсутній).</t>
        </is>
      </c>
      <c r="F17" s="16" t="inlineStr">
        <is>
          <t>«Посібник користувача покриває реєстрацію, пошук, оформлення замовлення і роботу з кабінетом; розділ про програму лояльності укладено згідно з вимогами розділу 5 цієї специфікації.»</t>
        </is>
      </c>
      <c r="G17" s="15" t="inlineStr">
        <is>
          <t>Дрєпіна А. (ІТ)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55" customWidth="1" min="6" max="6"/>
    <col width="16" customWidth="1" min="7" max="7"/>
    <col width="34" customWidth="1" min="8" max="8"/>
    <col width="3" customWidth="1" min="9" max="9"/>
    <col width="18" customWidth="1" min="10" max="10"/>
    <col width="8" customWidth="1" min="11" max="11"/>
  </cols>
  <sheetData>
    <row r="1">
      <c r="A1" s="1" t="inlineStr">
        <is>
          <t>№</t>
        </is>
      </c>
      <c r="B1" s="1" t="inlineStr">
        <is>
          <t>ID/локатор</t>
        </is>
      </c>
      <c r="C1" s="1" t="inlineStr">
        <is>
          <t>Критерій</t>
        </is>
      </c>
      <c r="D1" s="1" t="inlineStr">
        <is>
          <t>Пункт чек-листа</t>
        </is>
      </c>
      <c r="E1" s="1" t="inlineStr">
        <is>
          <t>Цитата</t>
        </is>
      </c>
      <c r="F1" s="1" t="inlineStr">
        <is>
          <t>Виправлення</t>
        </is>
      </c>
      <c r="G1" s="1" t="inlineStr">
        <is>
          <t>Хто знайшов</t>
        </is>
      </c>
      <c r="H1" s="1" t="inlineStr">
        <is>
          <t>Примітка</t>
        </is>
      </c>
      <c r="J1" s="11" t="inlineStr">
        <is>
          <t>Критерій</t>
        </is>
      </c>
      <c r="K1" s="11" t="inlineStr">
        <is>
          <t>Рядків</t>
        </is>
      </c>
    </row>
    <row r="2">
      <c r="A2" s="12" t="n">
        <v>1</v>
      </c>
      <c r="B2" s="12" t="inlineStr">
        <is>
          <t>F-10</t>
        </is>
      </c>
      <c r="C2" s="12" t="inlineStr">
        <is>
          <t>Повнота</t>
        </is>
      </c>
      <c r="D2" s="12" t="inlineStr">
        <is>
          <t>п. 1 — вимога містить повну інформацію</t>
        </is>
      </c>
      <c r="E2" s="12" t="inlineStr">
        <is>
          <t>«обов'язковість полів позначено у формі зірочкою» — вимога не називає, які саме поля обов'язкові; тест-кейс для незаповненого поля неможливо скласти.</t>
        </is>
      </c>
      <c r="F2" s="12" t="inlineStr">
        <is>
          <t>«… Обов'язкові поля: ім'я, прізвище, дата народження, країна, поштовий індекс, номер будинку, вулиця, місто, телефон, адреса електронної пошти, пароль; поле «область (штат)» необов'язкове; обов'язкові поля позначено у формі зірочкою.»</t>
        </is>
      </c>
      <c r="G2" s="12" t="inlineStr">
        <is>
          <t>Тимчак А. (ТА)</t>
        </is>
      </c>
      <c r="H2" s="12" t="inlineStr">
        <is>
          <t>Потребує підтвердження замовником.</t>
        </is>
      </c>
      <c r="J2" t="inlineStr">
        <is>
          <t>Однозначність</t>
        </is>
      </c>
      <c r="K2">
        <f>COUNTIF($C$2:$C$25,J2)</f>
        <v/>
      </c>
    </row>
    <row r="3">
      <c r="A3" s="12" t="n">
        <v>2</v>
      </c>
      <c r="B3" s="12" t="inlineStr">
        <is>
          <t>F-10</t>
        </is>
      </c>
      <c r="C3" s="12" t="inlineStr">
        <is>
          <t>Повнота</t>
        </is>
      </c>
      <c r="D3" s="12" t="inlineStr">
        <is>
          <t>п. 5 — описано реакції на помилки та виняткові ситуації</t>
        </is>
      </c>
      <c r="E3" s="12" t="inlineStr">
        <is>
          <t>«Після успішної реєстрації система створює обліковий запис покупця і переходить на сторінку входу» — не описано реакцію на вже зареєстровану адресу електронної пошти.</t>
        </is>
      </c>
      <c r="F3" s="12" t="inlineStr">
        <is>
          <t>Додати до F-10: «Якщо адреса електронної пошти вже зареєстрована, обліковий запис не створюється, і система показує повідомлення «A customer with this email address already exists.»»</t>
        </is>
      </c>
      <c r="G3" s="12" t="inlineStr">
        <is>
          <t>Тимчак А. (ТА)</t>
        </is>
      </c>
      <c r="H3" s="12" t="inlineStr">
        <is>
          <t>Текст повідомлення — Потребує підтвердження замовником.</t>
        </is>
      </c>
      <c r="J3" t="inlineStr">
        <is>
          <t>Повнота</t>
        </is>
      </c>
      <c r="K3">
        <f>COUNTIF($C$2:$C$25,J3)</f>
        <v/>
      </c>
    </row>
    <row r="4">
      <c r="A4" s="12" t="n">
        <v>3</v>
      </c>
      <c r="B4" s="12" t="inlineStr">
        <is>
          <t>F-20</t>
        </is>
      </c>
      <c r="C4" s="12" t="inlineStr">
        <is>
          <t>Однозначність</t>
        </is>
      </c>
      <c r="D4" s="12" t="inlineStr">
        <is>
          <t>п. 4 — вимога точна і допускає єдину інтерпретацію</t>
        </is>
      </c>
      <c r="E4" s="12" t="inlineStr">
        <is>
          <t>«Після успішного входу система перенаправляє користувача на відповідну сторінку» — «відповідну» не визначено, очікуваний результат тесту неоднозначний.</t>
        </is>
      </c>
      <c r="F4" s="12" t="inlineStr">
        <is>
          <t>«Після успішного входу система перенаправляє покупця на сторінку особистого кабінету (F-130).»</t>
        </is>
      </c>
      <c r="G4" s="12" t="inlineStr">
        <is>
          <t>Тимчак А. (ТА)</t>
        </is>
      </c>
      <c r="H4" s="12" t="n"/>
      <c r="J4" t="inlineStr">
        <is>
          <t>Несуперечливість</t>
        </is>
      </c>
      <c r="K4">
        <f>COUNTIF($C$2:$C$25,J4)</f>
        <v/>
      </c>
    </row>
    <row r="5">
      <c r="A5" s="12" t="n">
        <v>4</v>
      </c>
      <c r="B5" s="12" t="inlineStr">
        <is>
          <t>F-30</t>
        </is>
      </c>
      <c r="C5" s="12" t="inlineStr">
        <is>
          <t>Здійсненність</t>
        </is>
      </c>
      <c r="D5" s="12" t="inlineStr">
        <is>
          <t>вимоги здійсненні з погляду наявних ресурсів; виконання не залежить від систем, які продукт не контролює</t>
        </is>
      </c>
      <c r="E5" s="12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 — доставка залежить від сторонніх поштових серверів, які продукт не контролює.</t>
        </is>
      </c>
      <c r="F5" s="12" t="inlineStr">
        <is>
          <t>«Після надсилання форми система формує лист із посиланням для встановлення нового пароля і передає його поштовому серверу ШопЛайн не пізніше ніж за 5 с; час доставки до скриньки одержувача залежить від його поштового провайдера і не гарантується.»</t>
        </is>
      </c>
      <c r="G5" s="12" t="inlineStr">
        <is>
          <t>Тимчак А. (ТА)</t>
        </is>
      </c>
      <c r="H5" s="12" t="inlineStr">
        <is>
          <t>Значення 5 с — Потребує підтвердження замовником.</t>
        </is>
      </c>
      <c r="J5" t="inlineStr">
        <is>
          <t>Простежуваність</t>
        </is>
      </c>
      <c r="K5">
        <f>COUNTIF($C$2:$C$25,J5)</f>
        <v/>
      </c>
    </row>
    <row r="6">
      <c r="A6" s="12" t="n">
        <v>5</v>
      </c>
      <c r="B6" s="12" t="inlineStr">
        <is>
          <t>F-40 ↔ GUI-20</t>
        </is>
      </c>
      <c r="C6" s="12" t="inlineStr">
        <is>
          <t>Несуперечливість</t>
        </is>
      </c>
      <c r="D6" s="12" t="inlineStr">
        <is>
          <t>п. 2 — вимоги не суперечать одна одній</t>
        </is>
      </c>
      <c r="E6" s="12" t="inlineStr">
        <is>
          <t>F-40: «по 9 карток на сторінці»; GUI-20: «у три колонки по 12 карток на сторінці» — різна кількість карток на сторінці.</t>
        </is>
      </c>
      <c r="F6" s="12" t="inlineStr">
        <is>
          <t>GUI-20: «Картки каталогу розміщуються сіткою у три колонки, по 9 карток на сторінці (відповідно до F-40); …»</t>
        </is>
      </c>
      <c r="G6" s="12" t="inlineStr">
        <is>
          <t>Тимчак А. (ТА)</t>
        </is>
      </c>
      <c r="H6" s="12" t="inlineStr">
        <is>
          <t>крос (GUI-20 — розд. 4). Кількість 9 — Потребує підтвердження замовником.</t>
        </is>
      </c>
      <c r="J6" t="inlineStr">
        <is>
          <t>Здійсненність</t>
        </is>
      </c>
      <c r="K6">
        <f>COUNTIF($C$2:$C$25,J6)</f>
        <v/>
      </c>
    </row>
    <row r="7">
      <c r="A7" s="12" t="n">
        <v>6</v>
      </c>
      <c r="B7" s="12" t="inlineStr">
        <is>
          <t>F-50</t>
        </is>
      </c>
      <c r="C7" s="12" t="inlineStr">
        <is>
          <t>Однозначність</t>
        </is>
      </c>
      <c r="D7" s="12" t="inlineStr">
        <is>
          <t>п. 4 — вимога точна і допускає єдину інтерпретацію</t>
        </is>
      </c>
      <c r="E7" s="12" t="inlineStr">
        <is>
          <t>«Кілька фільтрів поєднуються за правилом «І»» — незрозуміло, чи «І» діє між прапорцями одного виду (дві категорії одночасно дадуть порожній список) чи лише між різними видами фільтрів.</t>
        </is>
      </c>
      <c r="F7" s="12" t="inlineStr">
        <is>
          <t>«Фільтри різних видів (категорія, бренд, діапазон ціни, «Eco-Friendly Products») поєднуються за правилом «І»; кілька позначених прапорців одного виду поєднуються за правилом «АБО».»</t>
        </is>
      </c>
      <c r="G7" s="12" t="inlineStr">
        <is>
          <t>Тимчак А. (ТА)</t>
        </is>
      </c>
      <c r="H7" s="12" t="inlineStr">
        <is>
          <t>Потребує підтвердження замовником.</t>
        </is>
      </c>
      <c r="J7" t="inlineStr">
        <is>
          <t>Тестопридатність</t>
        </is>
      </c>
      <c r="K7">
        <f>COUNTIF($C$2:$C$25,J7)</f>
        <v/>
      </c>
    </row>
    <row r="8">
      <c r="A8" s="12" t="n">
        <v>7</v>
      </c>
      <c r="B8" s="12" t="inlineStr">
        <is>
          <t>F-50</t>
        </is>
      </c>
      <c r="C8" s="12" t="inlineStr">
        <is>
          <t>Тестопридатність</t>
        </is>
      </c>
      <c r="D8" s="12" t="inlineStr">
        <is>
          <t>практичний тест: тест-кейс з однозначним результатом «пройдено / не пройдено»</t>
        </is>
      </c>
      <c r="E8" s="12" t="inlineStr">
        <is>
          <t>«система показує текстове повідомлення про відсутність товарів» — текст не задано, тож тест не може однозначно перевірити результат.</t>
        </is>
      </c>
      <c r="F8" s="12" t="inlineStr">
        <is>
          <t>«… список карток порожній, а система показує повідомлення «There are no products found.»»</t>
        </is>
      </c>
      <c r="G8" s="12" t="inlineStr">
        <is>
          <t>Тимчак А. (ТА)</t>
        </is>
      </c>
      <c r="H8" s="12" t="inlineStr">
        <is>
          <t>Текст повідомлення — Потребує підтвердження замовником.</t>
        </is>
      </c>
    </row>
    <row r="9">
      <c r="A9" s="12" t="n">
        <v>8</v>
      </c>
      <c r="B9" s="12" t="inlineStr">
        <is>
          <t>F-60</t>
        </is>
      </c>
      <c r="C9" s="12" t="inlineStr">
        <is>
          <t>Однозначність</t>
        </is>
      </c>
      <c r="D9" s="12" t="inlineStr">
        <is>
          <t>п. 4 — вимога точна і допускає єдину інтерпретацію</t>
        </is>
      </c>
      <c r="E9" s="12" t="inlineStr">
        <is>
          <t>«знайти товари, назви яких схожі на введений запит» — «схожі» допускає різні тлумачення (підрядок, початок слова, нечіткий пошук).</t>
        </is>
      </c>
      <c r="F9" s="12" t="inlineStr">
        <is>
          <t>«Поле пошуку на головній сторінці знаходить товари, назви яких містять введений запит як підрядок без урахування регістру.»</t>
        </is>
      </c>
      <c r="G9" s="12" t="inlineStr">
        <is>
          <t>Тимчак А. (ТА)</t>
        </is>
      </c>
      <c r="H9" s="12" t="n"/>
    </row>
    <row r="10">
      <c r="A10" s="12" t="n">
        <v>9</v>
      </c>
      <c r="B10" s="12" t="inlineStr">
        <is>
          <t>F-90</t>
        </is>
      </c>
      <c r="C10" s="12" t="inlineStr">
        <is>
          <t>Тестопридатність</t>
        </is>
      </c>
      <c r="D10" s="12" t="inlineStr">
        <is>
          <t>практичний тест: тест-кейс з однозначним результатом «пройдено / не пройдено»</t>
        </is>
      </c>
      <c r="E10" s="12" t="inlineStr">
        <is>
          <t>«додає товар у кошик у вказаній кількості миттєво і без помилок» — слова-маркери «миттєво», «без помилок»; немає числа й способу спостереження.</t>
        </is>
      </c>
      <c r="F10" s="12" t="inlineStr">
        <is>
          <t>«Натискання «Add to cart» додає товар у кошик у кількості з поля «Quantity»; не пізніше ніж за 2 с після натискання виводиться повідомлення «Product added to shopping cart.»; повторне додавання того самого товару збільшує кількість у наявному рядку (BL-20).»</t>
        </is>
      </c>
      <c r="G10" s="12" t="inlineStr">
        <is>
          <t>Тимчак А. (ТА)</t>
        </is>
      </c>
      <c r="H10" s="12" t="inlineStr">
        <is>
          <t>Значення 2 с і текст повідомлення — Потребує підтвердження замовником.</t>
        </is>
      </c>
    </row>
    <row r="11">
      <c r="A11" s="12" t="n">
        <v>10</v>
      </c>
      <c r="B11" s="12" t="inlineStr">
        <is>
          <t>F-100</t>
        </is>
      </c>
      <c r="C11" s="12" t="inlineStr">
        <is>
          <t>Повнота</t>
        </is>
      </c>
      <c r="D11" s="12" t="inlineStr">
        <is>
          <t>п. 3 — немає посилань на неіснуючі документи</t>
        </is>
      </c>
      <c r="E11" s="12" t="inlineStr">
        <is>
          <t>«Обмеження на кількість одиниць у рядку визначає вимога BL-25» — вимоги BL-25 у SRS немає.</t>
        </is>
      </c>
      <c r="F11" s="12" t="inlineStr">
        <is>
          <t>«Обмеження на кількість одиниць у рядку (від 1 до 99) визначають вимоги BL-10, BL-20 і BL-40.»</t>
        </is>
      </c>
      <c r="G11" s="12" t="inlineStr">
        <is>
          <t>Тимчак А. (ТА)</t>
        </is>
      </c>
      <c r="H11" s="12" t="n"/>
    </row>
    <row r="12">
      <c r="A12" s="12" t="n">
        <v>11</v>
      </c>
      <c r="B12" s="12" t="inlineStr">
        <is>
          <t>F-110 ↔ BL-60</t>
        </is>
      </c>
      <c r="C12" s="12" t="inlineStr">
        <is>
          <t>Несуперечливість</t>
        </is>
      </c>
      <c r="D12" s="12" t="inlineStr">
        <is>
          <t>п. 2 — вимоги не суперечать одна одній</t>
        </is>
      </c>
      <c r="E12" s="12" t="inlineStr">
        <is>
          <t>F-110: «вартість доставки: 120 грн, а для замовлень від 2000 грн доставка безкоштовна»; BL-60: «0.00 грн, якщо сума після знижки не менша за 1500 грн; інакше 120.00 грн» — різні пороги безкоштовної доставки.</t>
        </is>
      </c>
      <c r="F12" s="12" t="inlineStr">
        <is>
          <t>F-110: «… вартість доставки визначається за BL-60: 0.00 грн, якщо сума після знижок не менша за 1500 грн, інакше 120.00 грн.»</t>
        </is>
      </c>
      <c r="G12" s="12" t="inlineStr">
        <is>
          <t>Тимчак А. (ТА)</t>
        </is>
      </c>
      <c r="H12" s="12" t="inlineStr">
        <is>
          <t>Поріг 1500 грн — Потребує підтвердження замовником.</t>
        </is>
      </c>
    </row>
    <row r="13">
      <c r="A13" s="12" t="n">
        <v>12</v>
      </c>
      <c r="B13" s="12" t="inlineStr">
        <is>
          <t>F-110 ↔ розд. 2.3, пункт 3</t>
        </is>
      </c>
      <c r="C13" s="12" t="inlineStr">
        <is>
          <t>Несуперечливість</t>
        </is>
      </c>
      <c r="D13" s="12" t="inlineStr">
        <is>
          <t>п. 2 — вимоги не суперечать одна одній</t>
        </is>
      </c>
      <c r="E13" s="12" t="inlineStr">
        <is>
          <t>F-110: «Підсумок замовлення містить суму товарів, знижку за обсяг, знижку за промокодом і вартість доставки»; 2.3: «Модуль програми лояльності … в поточній версії ще не інтегрований в інтерфейс» — інтерфейс не може показувати знижки модуля, який у нього не інтегровано.</t>
        </is>
      </c>
      <c r="F13" s="12" t="inlineStr">
        <is>
          <t>F-110: «Підсумок замовлення містить суму товарів і вартість доставки; знижка за обсяг і знижка за промокодом у версії 1.0 в інтерфейсі не відображаються (розд. 2.3).»</t>
        </is>
      </c>
      <c r="G13" s="12" t="inlineStr">
        <is>
          <t>Тимчак А. (ТА)</t>
        </is>
      </c>
      <c r="H13" s="12" t="inlineStr">
        <is>
          <t>крос (розд. 2.3). Альтернатива — інтегрувати модуль і змінити 2.3; Потребує підтвердження замовником.</t>
        </is>
      </c>
    </row>
    <row r="14">
      <c r="A14" s="12" t="n">
        <v>13</v>
      </c>
      <c r="B14" s="12" t="inlineStr">
        <is>
          <t>F-120 ↔ GUI-40</t>
        </is>
      </c>
      <c r="C14" s="12" t="inlineStr">
        <is>
          <t>Несуперечливість</t>
        </is>
      </c>
      <c r="D14" s="12" t="inlineStr">
        <is>
          <t>п. 2 — вимоги не суперечать одна одній</t>
        </is>
      </c>
      <c r="E14" s="12" t="inlineStr">
        <is>
          <t>F-120: «Покупець може додати товар до списку обраного кнопкою «Add to favourites» без входу в систему»; GUI-40: «якщо покупець не увійшов у систему … товар до обраного не додається»; розд. 2.1 відносить «обране» до функцій зареєстрованого покупця.</t>
        </is>
      </c>
      <c r="F14" s="12" t="inlineStr">
        <is>
          <t>F-120: «Зареєстрований покупець, який увійшов у систему, може додати товар до списку обраного кнопкою «Add to favourites»; для неавторизованого покупця товар не додається (GUI-40). Список обраного доступний у кабінеті («My favorites»), де позицію можна видалити.»</t>
        </is>
      </c>
      <c r="G14" s="12" t="inlineStr">
        <is>
          <t>Тимчак А. (ТА)</t>
        </is>
      </c>
      <c r="H14" s="12" t="inlineStr">
        <is>
          <t>крос (GUI-40)</t>
        </is>
      </c>
    </row>
    <row r="15">
      <c r="A15" s="12" t="n">
        <v>14</v>
      </c>
      <c r="B15" s="12" t="inlineStr">
        <is>
          <t>F-140</t>
        </is>
      </c>
      <c r="C15" s="12" t="inlineStr">
        <is>
          <t>Повнота</t>
        </is>
      </c>
      <c r="D15" s="12" t="inlineStr">
        <is>
          <t>п. 4 — обумовлено всі допустимі й недопустимі вхідні дані</t>
        </is>
      </c>
      <c r="E15" s="12" t="inlineStr">
        <is>
          <t>«довжина повідомлення — не менше 50 символів. До звернення можна додати файл-вкладення» — не задано максимальну довжину повідомлення, допустимий формат і розмір вкладення та реакцію на недопустимий файл.</t>
        </is>
      </c>
      <c r="F15" s="12" t="inlineStr">
        <is>
          <t>«… довжина повідомлення — від 50 до 250 символів. До звернення можна додати один файл формату .txt розміром до 500 КБ; для недопустимого файла звернення не надсилається, а біля поля виводиться повідомлення про помилку (GUI-50).»</t>
        </is>
      </c>
      <c r="G15" s="12" t="inlineStr">
        <is>
          <t>Тимчак А. (ТА)</t>
        </is>
      </c>
      <c r="H15" s="12" t="inlineStr">
        <is>
          <t>Межі довжини, формат і розмір файла — Потребує підтвердження замовником.</t>
        </is>
      </c>
    </row>
    <row r="16">
      <c r="A16" s="12" t="n">
        <v>15</v>
      </c>
      <c r="B16" s="12" t="inlineStr">
        <is>
          <t>BL-10</t>
        </is>
      </c>
      <c r="C16" s="12" t="inlineStr">
        <is>
          <t>Повнота</t>
        </is>
      </c>
      <c r="D16" s="12" t="inlineStr">
        <is>
          <t>п. 4 — обумовлено всі допустимі й недопустимі вхідні дані</t>
        </is>
      </c>
      <c r="E16" s="12" t="inlineStr">
        <is>
          <t>«Допустимі значення: qty — …; unitPrice — …; sku — непорожній рядок» — для параметра name допустимі значення не задано (null, порожній рядок).</t>
        </is>
      </c>
      <c r="F16" s="12" t="inlineStr">
        <is>
          <t>«Допустимі значення: qty — ціле число від 1 до 99 включно; unitPrice — сума в гривнях, строго більша за 0; sku і name — непорожні рядки. …»</t>
        </is>
      </c>
      <c r="G16" s="12" t="inlineStr">
        <is>
          <t>Тимчак А. (ТА)</t>
        </is>
      </c>
      <c r="H16" s="12" t="n"/>
    </row>
    <row r="17">
      <c r="A17" s="12" t="n">
        <v>16</v>
      </c>
      <c r="B17" s="12" t="inlineStr">
        <is>
          <t>BL-30</t>
        </is>
      </c>
      <c r="C17" s="12" t="inlineStr">
        <is>
          <t>Простежуваність</t>
        </is>
      </c>
      <c r="D17" s="12" t="inlineStr">
        <is>
          <t>п. 1 — вимоги унікальні й не повторюються</t>
        </is>
      </c>
      <c r="E17" s="12" t="inlineStr">
        <is>
          <t>BL-30: «Якщо в кошику вже є товар із таким самим артикулом, система не додає окремий рядок, а збільшує кількість у наявному рядку» повторює BL-20: «Повторне додавання позиції з тим самим sku не створює новий рядок, а збільшує кількість наявного рядка».</t>
        </is>
      </c>
      <c r="F17" s="12" t="inlineStr">
        <is>
          <t>Вилучити BL-30 (ID залишається «діркою»); посилання на BL-30 замінити на BL-20.</t>
        </is>
      </c>
      <c r="G17" s="12" t="inlineStr">
        <is>
          <t>Тимчак А. (ТА)</t>
        </is>
      </c>
      <c r="H17" s="12" t="n"/>
    </row>
    <row r="18">
      <c r="A18" s="12" t="n">
        <v>17</v>
      </c>
      <c r="B18" s="12" t="inlineStr">
        <is>
          <t>BL-40</t>
        </is>
      </c>
      <c r="C18" s="12" t="inlineStr">
        <is>
          <t>Простежуваність</t>
        </is>
      </c>
      <c r="D18" s="12" t="inlineStr">
        <is>
          <t>п. 4 — формат ID дозволяє розділяти вимогу без впливу на решту ID</t>
        </is>
      </c>
      <c r="E18" s="12" t="inlineStr">
        <is>
          <t>BL-40 під одним ID описує чотири методи: «Cart.removeItem(sku) …; Cart.changeQty(sku, qty) …; Cart.subtotal() …; Cart.itemCount() …» — окремий юніт-тест не можна простежити до окремої вимоги.</t>
        </is>
      </c>
      <c r="F18" s="12" t="inlineStr">
        <is>
          <t>BL-40: «Cart.removeItem(sku) видаляє рядок; для відсутнього sku кидає NoSuchElementException.» BL-42: «Cart.changeQty(sku, qty) встановлює нову кількість від 1 до 99 включно (інакше IllegalArgumentException); для відсутнього sku кидає NoSuchElementException.» BL-44: «Cart.subtotal() повертає суму добутків «ціна × кількість» за всіма рядками, округлену до копійок (HALF_UP); для порожнього кошика — 0.00.» BL-46: «Cart.itemCount() повертає суму кількостей усіх рядків; для порожнього кошика — 0.»</t>
        </is>
      </c>
      <c r="G18" s="12" t="inlineStr">
        <is>
          <t>Тимчак А. (ТА)</t>
        </is>
      </c>
      <c r="H18" s="12" t="n"/>
    </row>
    <row r="19">
      <c r="A19" s="12" t="n">
        <v>18</v>
      </c>
      <c r="B19" s="12" t="inlineStr">
        <is>
          <t>BL-50</t>
        </is>
      </c>
      <c r="C19" s="12" t="inlineStr">
        <is>
          <t>Однозначність</t>
        </is>
      </c>
      <c r="D19" s="12" t="inlineStr">
        <is>
          <t>п. 4 — вимога точна і допускає єдину інтерпретацію</t>
        </is>
      </c>
      <c r="E19" s="12" t="inlineStr">
        <is>
          <t>«при сумі від 2000 грн — 5 %, від 5000 грн — 10 %, від 10000 грн — 15 %» — діапазони перекриваються (сума 6000 грн одночасно «від 2000» і «від 5000»), межі не позначено як включні чи виключні.</t>
        </is>
      </c>
      <c r="F19" s="12" t="inlineStr">
        <is>
          <t>«… обчислює знижку за обсяг: subtotal &lt; 2000 — 0 %; 2000 ≤ subtotal &lt; 5000 — 5 %; 5000 ≤ subtotal &lt; 10000 — 10 %; subtotal ≥ 10000 — 15 %; …»</t>
        </is>
      </c>
      <c r="G19" s="12" t="inlineStr">
        <is>
          <t>Тимчак А. (ТА)</t>
        </is>
      </c>
      <c r="H19" s="12" t="n"/>
    </row>
    <row r="20">
      <c r="A20" s="12" t="n">
        <v>19</v>
      </c>
      <c r="B20" s="12" t="inlineStr">
        <is>
          <t>BL-60</t>
        </is>
      </c>
      <c r="C20" s="12" t="inlineStr">
        <is>
          <t>Однозначність</t>
        </is>
      </c>
      <c r="D20" s="12" t="inlineStr">
        <is>
          <t>п. 4 — вимога точна і допускає єдину інтерпретацію</t>
        </is>
      </c>
      <c r="E20" s="12" t="inlineStr">
        <is>
          <t>«shippingFee(subtotalAfterDiscount) … якщо сума після знижки не менша за 1500 грн» — не визначено, яку знижку віднімають: лише за обсягом (BL-50) чи також за промокодом (BL-80).</t>
        </is>
      </c>
      <c r="F20" s="12" t="inlineStr">
        <is>
          <t>«… де subtotalAfterDiscount = subtotal − знижка за обсяг (BL-50) − знижка за промокодом (BL-80); повертає 0.00 грн, якщо subtotalAfterDiscount не менша за 1500 грн, інакше 120.00 грн. …»</t>
        </is>
      </c>
      <c r="G20" s="12" t="inlineStr">
        <is>
          <t>Тимчак А. (ТА)</t>
        </is>
      </c>
      <c r="H20" s="12" t="inlineStr">
        <is>
          <t>Потребує підтвердження замовником.</t>
        </is>
      </c>
    </row>
    <row r="21">
      <c r="A21" s="12" t="n">
        <v>20</v>
      </c>
      <c r="B21" s="12" t="inlineStr">
        <is>
          <t>BL-70</t>
        </is>
      </c>
      <c r="C21" s="12" t="inlineStr">
        <is>
          <t>Тестопридатність</t>
        </is>
      </c>
      <c r="D21" s="12" t="inlineStr">
        <is>
          <t>практичний тест: тест-кейс з однозначним результатом «пройдено / не пройдено»</t>
        </is>
      </c>
      <c r="E21" s="12" t="inlineStr">
        <is>
          <t>«Результат містить ознаку придатності та причину відмови» — можливі причини відмови не перелічено, тож тест не може перевірити, що повернуто правильну причину.</t>
        </is>
      </c>
      <c r="F21" s="12" t="inlineStr">
        <is>
          <t>«… Причина відмови — одне зі значень: NOT_FOUND (код не існує), INVALID_FORMAT (довжина поза межами 6–10 символів), EXPIRED (дата закінчення раніша за today), ALREADY_USED (одноразовий код уже використано), INVALID_VALUE (значення поза допустимими межами); для придатного коду причина порожня.»</t>
        </is>
      </c>
      <c r="G21" s="12" t="inlineStr">
        <is>
          <t>Тимчак А. (ТА)</t>
        </is>
      </c>
      <c r="H21" s="12" t="n"/>
    </row>
    <row r="22">
      <c r="A22" s="12" t="n">
        <v>21</v>
      </c>
      <c r="B22" s="12" t="inlineStr">
        <is>
          <t>BL-80</t>
        </is>
      </c>
      <c r="C22" s="12" t="inlineStr">
        <is>
          <t>Здійсненність</t>
        </is>
      </c>
      <c r="D22" s="12" t="inlineStr">
        <is>
          <t>вимоги здійсненні з погляду наявних ресурсів; виконання не залежить від систем, які продукт не контролює</t>
        </is>
      </c>
      <c r="E22" s="12" t="inlineStr">
        <is>
          <t>«система перевіряє, що цей код не було використано у жодному іншому інтернет-магазині, зокрема сторонніх» — модуль не має доступу до даних сторонніх магазинів; до того ж за 2.3 бібліотека «без зовнішніх залежностей».</t>
        </is>
      </c>
      <c r="F22" s="12" t="inlineStr">
        <is>
          <t>«Перед застосуванням одноразового коду метод перевіряє, що код не позначений як використаний у ШопЛайн; використаний код відхиляється (IllegalArgumentException із причиною відмови за BL-70).»</t>
        </is>
      </c>
      <c r="G22" s="12" t="inlineStr">
        <is>
          <t>Тимчак А. (ТА)</t>
        </is>
      </c>
      <c r="H22" s="12" t="n"/>
    </row>
    <row r="23">
      <c r="A23" s="12" t="n">
        <v>22</v>
      </c>
      <c r="B23" s="12" t="inlineStr">
        <is>
          <t>BL-70, BL-80 (немає вимоги)</t>
        </is>
      </c>
      <c r="C23" s="12" t="inlineStr">
        <is>
          <t>Повнота</t>
        </is>
      </c>
      <c r="D23" s="12" t="inlineStr">
        <is>
          <t>п. 2 — усі необхідні вимоги присутні</t>
        </is>
      </c>
      <c r="E23" s="12" t="inlineStr">
        <is>
          <t>BL-70: фіксована сума «не перевищує subtotal», BL-50: знижка за обсяг — до 15 % від subtotal; правила сумісного застосування знижок немає, тож сума до оплати може бути від'ємною (subtotal 2000, знижка за обсяг 100, промокод 2000 → −100).</t>
        </is>
      </c>
      <c r="F23" s="12" t="inlineStr">
        <is>
          <t>Нова вимога BL-90: «Сума до оплати = subtotal − знижка за обсяг (BL-50) − знижка за промокодом (BL-80); якщо результат менший за 0.00, він дорівнює 0.00; до суми до оплати додається вартість доставки (BL-60).»</t>
        </is>
      </c>
      <c r="G23" s="12" t="inlineStr">
        <is>
          <t>Тимчак А. (ТА)</t>
        </is>
      </c>
      <c r="H23" s="12" t="n"/>
    </row>
    <row r="24">
      <c r="A24" s="12" t="n">
        <v>23</v>
      </c>
      <c r="B24" s="12" t="inlineStr">
        <is>
          <t>GUI-30 ↔ BL-10</t>
        </is>
      </c>
      <c r="C24" s="12" t="inlineStr">
        <is>
          <t>Несуперечливість</t>
        </is>
      </c>
      <c r="D24" s="12" t="inlineStr">
        <is>
          <t>п. 2 — вимоги не суперечать одна одній</t>
        </is>
      </c>
      <c r="E24" s="12" t="inlineStr">
        <is>
          <t>GUI-30: «приймає значення від 0 до 100»; BL-10: «qty — ціле число від 1 до 99 включно».</t>
        </is>
      </c>
      <c r="F24" s="12" t="inlineStr">
        <is>
          <t>GUI-30: «… приймає цілі значення від 1 до 99 включно; значення за замовчуванням — 1.»</t>
        </is>
      </c>
      <c r="G24" s="12" t="inlineStr">
        <is>
          <t>Тимчак А. (ТА)</t>
        </is>
      </c>
      <c r="H24" s="12" t="inlineStr">
        <is>
          <t>крос (GUI-30 — розд. 4)</t>
        </is>
      </c>
    </row>
    <row r="25">
      <c r="A25" s="12" t="n">
        <v>24</v>
      </c>
      <c r="B25" s="12" t="inlineStr">
        <is>
          <t>GUI-60 (2 рядки)</t>
        </is>
      </c>
      <c r="C25" s="12" t="inlineStr">
        <is>
          <t>Простежуваність</t>
        </is>
      </c>
      <c r="D25" s="12" t="inlineStr">
        <is>
          <t>п. 2 — усі вимоги мають унікальний ідентифікатор</t>
        </is>
      </c>
      <c r="E25" s="12" t="inlineStr">
        <is>
          <t>Ідентифікатор GUI-60 присвоєно двом різним вимогам: «Форма входу містить поля …» і «Форма реєстрації містить поля у такому порядку …».</t>
        </is>
      </c>
      <c r="F25" s="12" t="inlineStr">
        <is>
          <t>Форму реєстрації позначити новим ID GUI-65; форма входу залишається GUI-60.</t>
        </is>
      </c>
      <c r="G25" s="12" t="inlineStr">
        <is>
          <t>Тимчак А. (ТА)</t>
        </is>
      </c>
      <c r="H25" s="12" t="inlineStr">
        <is>
          <t>крос (розд. 4)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62" customWidth="1" min="6" max="6"/>
    <col width="20" customWidth="1" min="7" max="7"/>
    <col width="11" customWidth="1" min="8" max="8"/>
    <col width="22" customWidth="1" min="9" max="9"/>
    <col width="45" customWidth="1" min="10" max="10"/>
    <col width="3" customWidth="1" min="11" max="11"/>
    <col width="22" customWidth="1" min="12" max="12"/>
    <col width="10" customWidth="1" min="13" max="13"/>
  </cols>
  <sheetData>
    <row r="1">
      <c r="A1" s="21" t="inlineStr">
        <is>
          <t>№</t>
        </is>
      </c>
      <c r="B1" s="21" t="inlineStr">
        <is>
          <t>ID/локатор</t>
        </is>
      </c>
      <c r="C1" s="21" t="inlineStr">
        <is>
          <t>Критерій</t>
        </is>
      </c>
      <c r="D1" s="21" t="inlineStr">
        <is>
          <t>Пункт чек-листа</t>
        </is>
      </c>
      <c r="E1" s="21" t="inlineStr">
        <is>
          <t>Опис дефекту (цитата)</t>
        </is>
      </c>
      <c r="F1" s="21" t="inlineStr">
        <is>
          <t>Пропозиція виправлення</t>
        </is>
      </c>
      <c r="G1" s="21" t="inlineStr">
        <is>
          <t>Хто знайшов</t>
        </is>
      </c>
      <c r="H1" s="21" t="inlineStr">
        <is>
          <t>Статус</t>
        </is>
      </c>
      <c r="I1" s="21" t="inlineStr">
        <is>
          <t>Джерела</t>
        </is>
      </c>
      <c r="J1" s="21" t="inlineStr">
        <is>
          <t>Примітка</t>
        </is>
      </c>
      <c r="L1" s="11" t="inlineStr">
        <is>
          <t>Критерій</t>
        </is>
      </c>
      <c r="M1" s="11" t="inlineStr">
        <is>
          <t>Прийнято</t>
        </is>
      </c>
    </row>
    <row r="2">
      <c r="A2" s="22" t="n">
        <v>1</v>
      </c>
      <c r="B2" s="22" t="inlineStr">
        <is>
          <t>2.2 ↔ розд. 6 (вимога про 375 px, без ID)</t>
        </is>
      </c>
      <c r="C2" s="22" t="inlineStr">
        <is>
          <t>Несуперечливість</t>
        </is>
      </c>
      <c r="D2" s="22" t="inlineStr">
        <is>
          <t>п. 2 — вимоги не суперечать одна одній</t>
        </is>
      </c>
      <c r="E2" s="22" t="inlineStr">
        <is>
          <t>«Підтримувані браузери: Chrome 120 і новіші, Firefox 115 і новіші на настільних операційних системах; мінімальна роздільна здатність вікна 1280×800» (2.2) суперечить «Інтерфейс коректно відображається за ширини вікна 375 пікселів … кнопками, придатними для натискання пальцем (не менше 44×44 пікселі)» (розд. 6). 2.2 обмежує продукт настільними ОС і шириною від 1280 пікселів, а розд. 6 вимагає мобільної ширини 375 пікселів і сенсорного керування.</t>
        </is>
      </c>
      <c r="F2" s="22" t="inlineStr">
        <is>
          <t>Варіант Горбонос О. (СМ): У 2.2: «Підтримувані браузери: Chrome 120 і новіші, Firefox 115 і новіші на настільних операційних системах; підтримувані розміри вікна — від 375 пікселів у ширину (мобільний вигляд інтерфейсу) і більше, основний настільний розмір — 1280×800.» (Мінімальну ширину 375 px узято з розділу 6 — потребує підтвердження замовником.)
Варіант Коротка К. (КТ): 2.2: «Підтримувані браузери: Chrome 120 і новіші, Firefox 115 і новіші на настільних операційних системах, Chrome для Android 120 і новіші, Safari для iOS 17 і новіші; мінімальна ширина вікна — 375 пікселів.»</t>
        </is>
      </c>
      <c r="G2" s="22" t="inlineStr">
        <is>
          <t>Горбонос О. (СМ), Коротка К. (КТ)</t>
        </is>
      </c>
      <c r="H2" s="22" t="inlineStr">
        <is>
          <t>прийнято</t>
        </is>
      </c>
      <c r="I2" s="22" t="inlineStr">
        <is>
          <t>audit_horbonos №8; audit_korotka №1</t>
        </is>
      </c>
      <c r="J2" s="22" t="inlineStr">
        <is>
          <t>Відсутність ID у вимозі розд. 6 — окремий рядок (див. «розд. 6, між U-20 і D-10»). Варіанти виправлення різняться (мобільні браузери) — потребує підтвердження замовником.</t>
        </is>
      </c>
      <c r="L2" s="23" t="inlineStr">
        <is>
          <t>Однозначність</t>
        </is>
      </c>
      <c r="M2" s="23">
        <f>COUNTIFS($C$2:$C$37,L2,$H$2:$H$37,"прийнято")</f>
        <v/>
      </c>
    </row>
    <row r="3">
      <c r="A3" s="22" t="n">
        <v>2</v>
      </c>
      <c r="B3" s="22" t="inlineStr">
        <is>
          <t>F-10</t>
        </is>
      </c>
      <c r="C3" s="22" t="inlineStr">
        <is>
          <t>Повнота</t>
        </is>
      </c>
      <c r="D3" s="22" t="inlineStr">
        <is>
          <t>п. 1 — вимога містить повну інформацію</t>
        </is>
      </c>
      <c r="E3" s="22" t="inlineStr">
        <is>
          <t>«обов'язковість полів позначено у формі зірочкою» — вимога не називає, які саме поля обов'язкові; тест-кейс для незаповненого поля неможливо скласти.</t>
        </is>
      </c>
      <c r="F3" s="22" t="inlineStr">
        <is>
          <t>«… Обов'язкові поля: ім'я, прізвище, дата народження, країна, поштовий індекс, номер будинку, вулиця, місто, телефон, адреса електронної пошти, пароль; поле «область (штат)» необов'язкове; обов'язкові поля позначено у формі зірочкою.»</t>
        </is>
      </c>
      <c r="G3" s="22" t="inlineStr">
        <is>
          <t>Тимчак А. (ТА)</t>
        </is>
      </c>
      <c r="H3" s="22" t="inlineStr">
        <is>
          <t>прийнято</t>
        </is>
      </c>
      <c r="I3" s="22" t="inlineStr">
        <is>
          <t>audit_tymchak №1</t>
        </is>
      </c>
      <c r="J3" s="22" t="inlineStr">
        <is>
          <t>Інший дефект F-10 (зайнята e-mail) — окремий рядок. Потребує підтвердження замовником.</t>
        </is>
      </c>
      <c r="L3" s="23" t="inlineStr">
        <is>
          <t>Повнота</t>
        </is>
      </c>
      <c r="M3" s="23">
        <f>COUNTIFS($C$2:$C$37,L3,$H$2:$H$37,"прийнято")</f>
        <v/>
      </c>
    </row>
    <row r="4">
      <c r="A4" s="22" t="n">
        <v>3</v>
      </c>
      <c r="B4" s="22" t="inlineStr">
        <is>
          <t>F-10</t>
        </is>
      </c>
      <c r="C4" s="22" t="inlineStr">
        <is>
          <t>Повнота</t>
        </is>
      </c>
      <c r="D4" s="22" t="inlineStr">
        <is>
          <t>п. 5 — описано реакції на помилки та виняткові ситуації</t>
        </is>
      </c>
      <c r="E4" s="22" t="inlineStr">
        <is>
          <t>«Після успішної реєстрації система створює обліковий запис покупця і переходить на сторінку входу» — не описано реакцію на вже зареєстровану адресу електронної пошти.</t>
        </is>
      </c>
      <c r="F4" s="22" t="inlineStr">
        <is>
          <t>Додати до F-10: «Якщо адреса електронної пошти вже зареєстрована, обліковий запис не створюється, і система показує повідомлення «A customer with this email address already exists.»»</t>
        </is>
      </c>
      <c r="G4" s="22" t="inlineStr">
        <is>
          <t>Тимчак А. (ТА)</t>
        </is>
      </c>
      <c r="H4" s="22" t="inlineStr">
        <is>
          <t>прийнято</t>
        </is>
      </c>
      <c r="I4" s="22" t="inlineStr">
        <is>
          <t>audit_tymchak №2</t>
        </is>
      </c>
      <c r="J4" s="22" t="inlineStr">
        <is>
          <t>Текст повідомлення — потребує підтвердження замовником.</t>
        </is>
      </c>
      <c r="L4" s="23" t="inlineStr">
        <is>
          <t>Несуперечливість</t>
        </is>
      </c>
      <c r="M4" s="23">
        <f>COUNTIFS($C$2:$C$37,L4,$H$2:$H$37,"прийнято")</f>
        <v/>
      </c>
    </row>
    <row r="5">
      <c r="A5" s="22" t="n">
        <v>4</v>
      </c>
      <c r="B5" s="22" t="inlineStr">
        <is>
          <t>F-20</t>
        </is>
      </c>
      <c r="C5" s="22" t="inlineStr">
        <is>
          <t>Однозначність</t>
        </is>
      </c>
      <c r="D5" s="22" t="inlineStr">
        <is>
          <t>п. 2 — вимога чітка і зрозуміла; п. 4 — допускає єдину інтерпретацію</t>
        </is>
      </c>
      <c r="E5" s="22" t="inlineStr">
        <is>
          <t>«Після успішного входу система перенаправляє користувача на відповідну сторінку» — «відповідну» не визначено, очікуваний результат тесту неоднозначний.</t>
        </is>
      </c>
      <c r="F5" s="22" t="inlineStr">
        <is>
          <t>Варіант Горбонос О. (СМ): «Після успішного входу система перенаправляє покупця на сторінку особистого кабінету (/account); якщо вхід виконано на кроці «Sign in» оформлення замовлення (F-110) — на крок «Billing Address».»
Варіант Тимчак А. (ТА): «Після успішного входу система перенаправляє покупця на сторінку особистого кабінету (F-130).»</t>
        </is>
      </c>
      <c r="G5" s="22" t="inlineStr">
        <is>
          <t>Горбонос О. (СМ), Тимчак А. (ТА)</t>
        </is>
      </c>
      <c r="H5" s="22" t="inlineStr">
        <is>
          <t>прийнято</t>
        </is>
      </c>
      <c r="I5" s="22" t="inlineStr">
        <is>
          <t>audit_horbonos №1; audit_tymchak №3</t>
        </is>
      </c>
      <c r="J5" s="22" t="inlineStr">
        <is>
          <t>Обидва варіанти ведуть у кабінет; варіант Горбонос додатково описує вхід на кроці «Sign in» (F-110).</t>
        </is>
      </c>
      <c r="L5" s="23" t="inlineStr">
        <is>
          <t>Простежуваність</t>
        </is>
      </c>
      <c r="M5" s="23">
        <f>COUNTIFS($C$2:$C$37,L5,$H$2:$H$37,"прийнято")</f>
        <v/>
      </c>
    </row>
    <row r="6">
      <c r="A6" s="22" t="n">
        <v>5</v>
      </c>
      <c r="B6" s="22" t="inlineStr">
        <is>
          <t>F-30</t>
        </is>
      </c>
      <c r="C6" s="22" t="inlineStr">
        <is>
          <t>Здійсненність</t>
        </is>
      </c>
      <c r="D6" s="22" t="inlineStr">
        <is>
          <t>вимоги здійсненні з погляду наявних ресурсів; виконання не залежить від систем, які продукт не контролює</t>
        </is>
      </c>
      <c r="E6" s="22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 — доставка залежить від сторонніх поштових серверів, які продукт не контролює.</t>
        </is>
      </c>
      <c r="F6" s="22" t="inlineStr">
        <is>
          <t>Варіант Горбонос О. (СМ): «Після надсилання форми система формує лист із посиланням для встановлення нового пароля і передає його поштовому сервісу не довше ніж за 1 секунду; час доставки до скриньки залежить від поштового провайдера одержувача і не гарантується.»
Варіант Тимчак А. (ТА): «Після надсилання форми система формує лист із посиланням для встановлення нового пароля і передає його поштовому серверу ШопЛайн не пізніше ніж за 5 с; час доставки до скриньки одержувача залежить від його поштового провайдера і не гарантується.»</t>
        </is>
      </c>
      <c r="G6" s="22" t="inlineStr">
        <is>
          <t>Горбонос О. (СМ), Тимчак А. (ТА)</t>
        </is>
      </c>
      <c r="H6" s="22" t="inlineStr">
        <is>
          <t>прийнято</t>
        </is>
      </c>
      <c r="I6" s="22" t="inlineStr">
        <is>
          <t>audit_horbonos №9; audit_tymchak №4</t>
        </is>
      </c>
      <c r="J6" s="22" t="inlineStr">
        <is>
          <t>Варіанти різняться лише часом передачі листа (1 с / 5 с) — потребує підтвердження замовником.</t>
        </is>
      </c>
      <c r="L6" s="23" t="inlineStr">
        <is>
          <t>Здійсненність</t>
        </is>
      </c>
      <c r="M6" s="23">
        <f>COUNTIFS($C$2:$C$37,L6,$H$2:$H$37,"прийнято")</f>
        <v/>
      </c>
    </row>
    <row r="7">
      <c r="A7" s="22" t="n">
        <v>6</v>
      </c>
      <c r="B7" s="22" t="inlineStr">
        <is>
          <t>F-40 ↔ GUI-20</t>
        </is>
      </c>
      <c r="C7" s="22" t="inlineStr">
        <is>
          <t>Несуперечливість</t>
        </is>
      </c>
      <c r="D7" s="22" t="inlineStr">
        <is>
          <t>п. 2 — вимоги не суперечать одна одній</t>
        </is>
      </c>
      <c r="E7" s="22" t="inlineStr">
        <is>
          <t>«Картки каталогу розміщуються сіткою у три колонки по 12 карток на сторінці» (GUI-20) суперечить «по 9 карток на сторінці» (F-40).</t>
        </is>
      </c>
      <c r="F7" s="22" t="inlineStr">
        <is>
          <t>У GUI-20: 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«Out of stock».»</t>
        </is>
      </c>
      <c r="G7" s="22" t="inlineStr">
        <is>
          <t>Горбонос О. (СМ), Коротка К. (КТ), Дрєпіна А. (ІТ), Тимчак А. (ТА)</t>
        </is>
      </c>
      <c r="H7" s="22" t="inlineStr">
        <is>
          <t>прийнято</t>
        </is>
      </c>
      <c r="I7" s="22" t="inlineStr">
        <is>
          <t>audit_horbonos №7; audit_korotka №3; audit_drepina №1; audit_tymchak №5</t>
        </is>
      </c>
      <c r="J7" s="22" t="inlineStr">
        <is>
          <t>Усі четверо пропонують виправити GUI-20 на 9 карток (як у F-40 і в demo).</t>
        </is>
      </c>
      <c r="L7" s="23" t="inlineStr">
        <is>
          <t>Тестопридатність</t>
        </is>
      </c>
      <c r="M7" s="23">
        <f>COUNTIFS($C$2:$C$37,L7,$H$2:$H$37,"прийнято")</f>
        <v/>
      </c>
    </row>
    <row r="8">
      <c r="A8" s="22" t="n">
        <v>7</v>
      </c>
      <c r="B8" s="22" t="inlineStr">
        <is>
          <t>F-50</t>
        </is>
      </c>
      <c r="C8" s="22" t="inlineStr">
        <is>
          <t>Однозначність</t>
        </is>
      </c>
      <c r="D8" s="22" t="inlineStr">
        <is>
          <t>п. 4 — вимога точна і допускає єдину інтерпретацію</t>
        </is>
      </c>
      <c r="E8" s="22" t="inlineStr">
        <is>
          <t>«Кілька фільтрів поєднуються за правилом «І»» — незрозуміло, чи «І» діє між прапорцями одного виду (дві категорії одночасно дадуть порожній список) чи лише між різними видами фільтрів.</t>
        </is>
      </c>
      <c r="F8" s="22" t="inlineStr">
        <is>
          <t>«Фільтри різних видів (категорія, бренд, діапазон ціни, «Eco-Friendly Products») поєднуються за правилом «І»; кілька позначених прапорців одного виду поєднуються за правилом «АБО».»</t>
        </is>
      </c>
      <c r="G8" s="22" t="inlineStr">
        <is>
          <t>Тимчак А. (ТА)</t>
        </is>
      </c>
      <c r="H8" s="22" t="inlineStr">
        <is>
          <t>прийнято</t>
        </is>
      </c>
      <c r="I8" s="22" t="inlineStr">
        <is>
          <t>audit_tymchak №6</t>
        </is>
      </c>
      <c r="J8" s="22" t="inlineStr">
        <is>
          <t>Потребує підтвердження замовником.</t>
        </is>
      </c>
      <c r="L8" s="23" t="inlineStr">
        <is>
          <t>Разом</t>
        </is>
      </c>
      <c r="M8" s="23">
        <f>SUM(M2:M7)</f>
        <v/>
      </c>
    </row>
    <row r="9">
      <c r="A9" s="22" t="n">
        <v>8</v>
      </c>
      <c r="B9" s="22" t="inlineStr">
        <is>
          <t>F-50</t>
        </is>
      </c>
      <c r="C9" s="22" t="inlineStr">
        <is>
          <t>Тестопридатність</t>
        </is>
      </c>
      <c r="D9" s="22" t="inlineStr">
        <is>
          <t>практичний тест: тест-кейс з однозначним результатом «пройдено / не пройдено»</t>
        </is>
      </c>
      <c r="E9" s="22" t="inlineStr">
        <is>
          <t>«система показує текстове повідомлення про відсутність товарів» — текст не задано, тож тест не може однозначно перевірити результат.</t>
        </is>
      </c>
      <c r="F9" s="22" t="inlineStr">
        <is>
          <t>«… список карток порожній, а система показує повідомлення «There are no products found.»»</t>
        </is>
      </c>
      <c r="G9" s="22" t="inlineStr">
        <is>
          <t>Тимчак А. (ТА)</t>
        </is>
      </c>
      <c r="H9" s="22" t="inlineStr">
        <is>
          <t>відхилено після обговорення</t>
        </is>
      </c>
      <c r="I9" s="22" t="inlineStr">
        <is>
          <t>audit_tymchak №7</t>
        </is>
      </c>
      <c r="J9" s="22" t="inlineStr">
        <is>
          <t>Класифікація: аналогічний дефект GUI-70 (текст повідомлення не задано) віднесено до однозначності — узгодити один критерій для обох рядків.</t>
        </is>
      </c>
      <c r="L9" s="23" t="n"/>
      <c r="M9" s="23" t="n"/>
    </row>
    <row r="10">
      <c r="A10" s="22" t="n">
        <v>9</v>
      </c>
      <c r="B10" s="22" t="inlineStr">
        <is>
          <t>F-60</t>
        </is>
      </c>
      <c r="C10" s="22" t="inlineStr">
        <is>
          <t>Однозначність</t>
        </is>
      </c>
      <c r="D10" s="22" t="inlineStr">
        <is>
          <t>п. 4 — вимога точна і допускає єдину інтерпретацію</t>
        </is>
      </c>
      <c r="E10" s="22" t="inlineStr">
        <is>
          <t>«знайти товари, назви яких схожі на введений запит» — «схожі» допускає різні тлумачення (підрядок, початок слова, нечіткий пошук).</t>
        </is>
      </c>
      <c r="F10" s="22" t="inlineStr">
        <is>
          <t>«Поле пошуку на головній сторінці дозволяє знайти товари, назви яких містять введений запит (без урахування регістру літер).» (Правило звірено з demo: запит «PLI» повертає «Pliers», «Combination Pliers» та інші.)</t>
        </is>
      </c>
      <c r="G10" s="22" t="inlineStr">
        <is>
          <t>Горбонос О. (СМ), Тимчак А. (ТА)</t>
        </is>
      </c>
      <c r="H10" s="22" t="inlineStr">
        <is>
          <t>прийнято</t>
        </is>
      </c>
      <c r="I10" s="22" t="inlineStr">
        <is>
          <t>audit_horbonos №2; audit_tymchak №8</t>
        </is>
      </c>
      <c r="J10" s="22" t="inlineStr">
        <is>
          <t>Виправлення збігаються (підрядок, без урахування регістру).</t>
        </is>
      </c>
      <c r="L10" s="23" t="inlineStr">
        <is>
          <t>Відхилено після обговорення</t>
        </is>
      </c>
      <c r="M10" s="23">
        <f>COUNTIF($H$2:$H$37,"відхилено після обговорення")</f>
        <v/>
      </c>
    </row>
    <row r="11">
      <c r="A11" s="22" t="n">
        <v>10</v>
      </c>
      <c r="B11" s="22" t="inlineStr">
        <is>
          <t>F-90</t>
        </is>
      </c>
      <c r="C11" s="22" t="inlineStr">
        <is>
          <t>Тестопридатність</t>
        </is>
      </c>
      <c r="D11" s="22" t="inlineStr">
        <is>
          <t>практичний тест: тест-кейс з однозначним результатом «пройдено / не пройдено»</t>
        </is>
      </c>
      <c r="E11" s="22" t="inlineStr">
        <is>
          <t>«додає товар у кошик у вказаній кількості миттєво і без помилок» — слова-маркери «миттєво», «без помилок»; немає числа й способу спостереження.</t>
        </is>
      </c>
      <c r="F11" s="22" t="inlineStr">
        <is>
          <t>Варіант Горбонос О. (СМ): «Натискання «Add to cart» не довше ніж за 1 с додає товар у кошик у вказаній кількості (позиція з'являється на кроці «Cart»), повідомлення про помилку не виводиться; повторне додавання того самого товару збільшує його кількість у кошику.» (Значення 1 с — потребує підтвердження замовником.)
Варіант Тимчак А. (ТА): «Натискання «Add to cart» додає товар у кошик у кількості з поля «Quantity»; не пізніше ніж за 2 с після натискання виводиться повідомлення «Product added to shopping cart.»; повторне додавання того самого товару збільшує кількість у наявному рядку (BL-20).»</t>
        </is>
      </c>
      <c r="G11" s="22" t="inlineStr">
        <is>
          <t>Горбонос О. (СМ), Тимчак А. (ТА)</t>
        </is>
      </c>
      <c r="H11" s="22" t="inlineStr">
        <is>
          <t>прийнято</t>
        </is>
      </c>
      <c r="I11" s="22" t="inlineStr">
        <is>
          <t>audit_horbonos №10; audit_tymchak №9</t>
        </is>
      </c>
      <c r="J11" s="22" t="inlineStr">
        <is>
          <t>Варіанти різняться часом (1 с / 2 с) і способом спостереження — потребує підтвердження замовником.</t>
        </is>
      </c>
      <c r="L11" s="23" t="inlineStr">
        <is>
          <t>Рядків в аркушах аудиту</t>
        </is>
      </c>
      <c r="M11" s="23" t="n">
        <v>68</v>
      </c>
    </row>
    <row r="12">
      <c r="A12" s="22" t="n">
        <v>11</v>
      </c>
      <c r="B12" s="22" t="inlineStr">
        <is>
          <t>F-100</t>
        </is>
      </c>
      <c r="C12" s="22" t="inlineStr">
        <is>
          <t>Повнота</t>
        </is>
      </c>
      <c r="D12" s="22" t="inlineStr">
        <is>
          <t>п. 3 — немає посилань на неіснуючі документи</t>
        </is>
      </c>
      <c r="E12" s="22" t="inlineStr">
        <is>
          <t>«Обмеження на кількість одиниць у рядку визначає вимога BL-25» — вимоги BL-25 у специфікації немає.</t>
        </is>
      </c>
      <c r="F12" s="22" t="inlineStr">
        <is>
          <t>Варіант Коротка К. (КТ), Тимчак А. (ТА): «Обмеження на кількість одиниць у рядку (від 1 до 99) визначають вимоги BL-10, BL-20 і BL-40.»
Варіант Горбонос О. (СМ): «Обмеження на кількість одиниць у рядку (ціле число від 1 до 99 включно) визначає вимога BL-40.»</t>
        </is>
      </c>
      <c r="G12" s="22" t="inlineStr">
        <is>
          <t>Горбонос О. (СМ), Коротка К. (КТ), Тимчак А. (ТА)</t>
        </is>
      </c>
      <c r="H12" s="22" t="inlineStr">
        <is>
          <t>прийнято</t>
        </is>
      </c>
      <c r="I12" s="22" t="inlineStr">
        <is>
          <t>audit_horbonos №3; audit_korotka №17; audit_tymchak №10</t>
        </is>
      </c>
      <c r="J12" s="22" t="n"/>
    </row>
    <row r="13">
      <c r="A13" s="22" t="n">
        <v>12</v>
      </c>
      <c r="B13" s="22" t="inlineStr">
        <is>
          <t>F-110 ↔ BL-60</t>
        </is>
      </c>
      <c r="C13" s="22" t="inlineStr">
        <is>
          <t>Несуперечливість</t>
        </is>
      </c>
      <c r="D13" s="22" t="inlineStr">
        <is>
          <t>п. 2 — вимоги не суперечать одна одній</t>
        </is>
      </c>
      <c r="E13" s="22" t="inlineStr">
        <is>
          <t>«вартість доставки: 120 грн, а для замовлень від 2000 грн доставка безкоштовна» (F-110) суперечить «0.00 грн, якщо сума після знижки не менша за 1500 грн; інакше 120.00 грн» (BL-60): різний поріг (2000 / 1500) і різна база (сума замовлення / сума після знижки).</t>
        </is>
      </c>
      <c r="F13" s="22" t="inlineStr">
        <is>
          <t>Варіант Горбонос О. (СМ), Дрєпіна А. (ІТ): У F-110: «… вартість доставки: 120 грн; якщо сума замовлення після знижки за обсяг становить не менше 1500 грн, доставка безкоштовна.» (Поріг 1500 грн узято з BL-60 — потребує підтвердження замовником.)
Варіант Тимчак А. (ТА), Коротка К. (КТ): F-110: «… вартість доставки визначається за BL-60: 0.00 грн, якщо сума після знижок не менша за 1500 грн, інакше 120.00 грн.»</t>
        </is>
      </c>
      <c r="G13" s="22" t="inlineStr">
        <is>
          <t>Горбонос О. (СМ), Коротка К. (КТ), Дрєпіна А. (ІТ), Тимчак А. (ТА)</t>
        </is>
      </c>
      <c r="H13" s="22" t="inlineStr">
        <is>
          <t>прийнято</t>
        </is>
      </c>
      <c r="I13" s="22" t="inlineStr">
        <is>
          <t>audit_horbonos №5; audit_korotka №16; audit_drepina №10; audit_tymchak №11</t>
        </is>
      </c>
      <c r="J13" s="22" t="inlineStr">
        <is>
          <t>Варіанти різняться базою порогу: сума після знижки за обсяг (Горбонос, Дрєпіна) чи після всіх знижок (Тимчак, Коротка) — пов'язано з рядком BL-60 (однозначність). Поріг — потребує підтвердження замовником.</t>
        </is>
      </c>
      <c r="L13" s="24" t="inlineStr">
        <is>
          <t>Чернетка SCRUM-53. Рядки впорядковано за порядком SRS (2.2 → F → GUI → P/S/U/D → BL). Однакові дефекти (той самий ID, критерій, суть) зведено в один рядок з усіма авторами; коли виправлення різняться, наведено всі варіанти з авторами. «спірне» — розбіжність у класифікації або сумнівний рядок; вирішення — поза цією задачею.</t>
        </is>
      </c>
    </row>
    <row r="14">
      <c r="A14" s="22" t="n">
        <v>13</v>
      </c>
      <c r="B14" s="22" t="inlineStr">
        <is>
          <t>F-110 ↔ розд. 2.3, пункт 3</t>
        </is>
      </c>
      <c r="C14" s="22" t="inlineStr">
        <is>
          <t>Несуперечливість</t>
        </is>
      </c>
      <c r="D14" s="22" t="inlineStr">
        <is>
          <t>п. 2 — вимоги не суперечать одна одній</t>
        </is>
      </c>
      <c r="E14" s="22" t="inlineStr">
        <is>
          <t>F-110: «Підсумок замовлення містить суму товарів, знижку за обсяг, знижку за промокодом і вартість доставки»; 2.3: «Модуль програми лояльності … в поточній версії ще не інтегрований в інтерфейс» — інтерфейс не може показувати знижки модуля, який у нього не інтегровано.</t>
        </is>
      </c>
      <c r="F14" s="22" t="inlineStr">
        <is>
          <t>F-110: «Підсумок замовлення містить суму товарів і вартість доставки; знижка за обсяг і знижка за промокодом у версії 1.0 в інтерфейсі не відображаються (розд. 2.3).»</t>
        </is>
      </c>
      <c r="G14" s="22" t="inlineStr">
        <is>
          <t>Тимчак А. (ТА)</t>
        </is>
      </c>
      <c r="H14" s="22" t="inlineStr">
        <is>
          <t>прийнято</t>
        </is>
      </c>
      <c r="I14" s="22" t="inlineStr">
        <is>
          <t>audit_tymchak №12</t>
        </is>
      </c>
      <c r="J14" s="22" t="inlineStr">
        <is>
          <t>Сумнівний: інші аудитори розділу 3 цього не позначили; виправлення конфліктує з варіантами виправлення рядка F-110 ↔ BL-60, які залишають знижки в підсумку. Альтернатива — інтегрувати модуль і змінити 2.3.</t>
        </is>
      </c>
    </row>
    <row r="15">
      <c r="A15" s="22" t="n">
        <v>14</v>
      </c>
      <c r="B15" s="22" t="inlineStr">
        <is>
          <t>F-120 ↔ GUI-40</t>
        </is>
      </c>
      <c r="C15" s="22" t="inlineStr">
        <is>
          <t>Несуперечливість</t>
        </is>
      </c>
      <c r="D15" s="22" t="inlineStr">
        <is>
          <t>п. 2 — вимоги не суперечать одна одній</t>
        </is>
      </c>
      <c r="E15" s="22" t="inlineStr">
        <is>
          <t>«Покупець може додати товар до списку обраного кнопкою «Add to favourites» без входу в систему» (F-120) суперечить GUI-40: «якщо покупець не увійшов у систему, після натискання виводиться повідомлення «Unauthorized, can not add product to your favorite list», і товар до обраного не додається»; також 1.3 («Список товарів, збережених зареєстрованим покупцем») і 2.1 (обране — лише зареєстрованому покупцю).</t>
        </is>
      </c>
      <c r="F15" s="22" t="inlineStr">
        <is>
          <t>F-120: «Зареєстрований покупець, який увійшов у систему, може додати товар до списку обраного кнопкою «Add to favourites»; для неавторизованого покупця товар не додається (GUI-40). Список обраного доступний у кабінеті («My favorites»), де позицію можна видалити.»</t>
        </is>
      </c>
      <c r="G15" s="22" t="inlineStr">
        <is>
          <t>Горбонос О. (СМ), Коротка К. (КТ), Дрєпіна А. (ІТ), Тимчак А. (ТА)</t>
        </is>
      </c>
      <c r="H15" s="22" t="inlineStr">
        <is>
          <t>прийнято</t>
        </is>
      </c>
      <c r="I15" s="22" t="inlineStr">
        <is>
          <t>audit_horbonos №6; audit_korotka №5; audit_drepina №3; audit_tymchak №13</t>
        </is>
      </c>
      <c r="J15" s="22" t="inlineStr">
        <is>
          <t>Виправлення всіх чотирьох збігаються за змістом (обране — лише після входу; правиться F-120).</t>
        </is>
      </c>
    </row>
    <row r="16">
      <c r="A16" s="22" t="n">
        <v>15</v>
      </c>
      <c r="B16" s="22" t="inlineStr">
        <is>
          <t>F-140</t>
        </is>
      </c>
      <c r="C16" s="22" t="inlineStr">
        <is>
          <t>Повнота</t>
        </is>
      </c>
      <c r="D16" s="22" t="inlineStr">
        <is>
          <t>п. 4 — обумовлено всі допустимі й недопустимі вхідні дані; п. 5 — реакція на помилки</t>
        </is>
      </c>
      <c r="E16" s="22" t="inlineStr">
        <is>
          <t>«довжина повідомлення — не менше 50 символів. До звернення можна додати файл-вкладення» — не задано максимальну довжину повідомлення, допустимий формат і розмір вкладення та реакцію на недопустимий файл.</t>
        </is>
      </c>
      <c r="F16" s="22" t="inlineStr">
        <is>
          <t>Варіант Горбонос О. (СМ): «До звернення можна додати один файл-вкладення розміром до 5 МБ у форматі PDF, PNG, JPG або TXT; для файлу, що не відповідає цим умовам, система показує повідомлення про недопустимий файл біля поля вкладення і не надсилає звернення (GUI-50).» (Формати й межа 5 МБ — потребує підтвердження замовником.)
Варіант Тимчак А. (ТА): «… довжина повідомлення — від 50 до 250 символів. До звернення можна додати один файл формату .txt розміром до 500 КБ; для недопустимого файла звернення не надсилається, а біля поля виводиться повідомлення про помилку (GUI-50).»</t>
        </is>
      </c>
      <c r="G16" s="22" t="inlineStr">
        <is>
          <t>Горбонос О. (СМ), Тимчак А. (ТА)</t>
        </is>
      </c>
      <c r="H16" s="22" t="inlineStr">
        <is>
          <t>прийнято</t>
        </is>
      </c>
      <c r="I16" s="22" t="inlineStr">
        <is>
          <t>audit_horbonos №4; audit_tymchak №14</t>
        </is>
      </c>
      <c r="J16" s="22" t="inlineStr">
        <is>
          <t>Варіанти різняться форматами й розміром файла (PDF/PNG/JPG/TXT до 5 МБ / .txt до 500 КБ); максимальну довжину повідомлення пропонує лише Тимчак. Потребує підтвердження замовником.</t>
        </is>
      </c>
    </row>
    <row r="17">
      <c r="A17" s="22" t="n">
        <v>16</v>
      </c>
      <c r="B17" s="22" t="inlineStr">
        <is>
          <t>GUI-10</t>
        </is>
      </c>
      <c r="C17" s="22" t="inlineStr">
        <is>
          <t>Повнота</t>
        </is>
      </c>
      <c r="D17" s="22" t="inlineStr">
        <is>
          <t>п. 1 — вимога містить повну інформацію</t>
        </is>
      </c>
      <c r="E17" s="22" t="inlineStr">
        <is>
          <t>«…«Sign in» та перемикач мови інтерфейсу» — не вказано, які мови доступні і яка мова за замовчуванням (у 2.2: «Інтерфейс demo — англійською мовою»).</t>
        </is>
      </c>
      <c r="F17" s="22" t="inlineStr">
        <is>
          <t>«…«Sign in» та перемикач мови інтерфейсу з варіантами DE, EL, EN, ES, FR, NL, TR; мова за замовчуванням — EN.»</t>
        </is>
      </c>
      <c r="G17" s="22" t="inlineStr">
        <is>
          <t>Коротка К. (КТ)</t>
        </is>
      </c>
      <c r="H17" s="22" t="inlineStr">
        <is>
          <t>відхилено після обговорення</t>
        </is>
      </c>
      <c r="I17" s="22" t="inlineStr">
        <is>
          <t>audit_korotka №2</t>
        </is>
      </c>
      <c r="J17" s="22" t="inlineStr">
        <is>
          <t>Сумнівний: автор вказав середню впевненість; другий аудитор розділу 4 (Дрєпіна) не знайшов. Перелік мов звірено з demo 01.10.2026.</t>
        </is>
      </c>
    </row>
    <row r="18">
      <c r="A18" s="22" t="n">
        <v>17</v>
      </c>
      <c r="B18" s="22" t="inlineStr">
        <is>
          <t>GUI-30 ↔ BL-10, BL-40</t>
        </is>
      </c>
      <c r="C18" s="22" t="inlineStr">
        <is>
          <t>Несуперечливість</t>
        </is>
      </c>
      <c r="D18" s="22" t="inlineStr">
        <is>
          <t>п. 2 — вимоги не суперечать одна одній</t>
        </is>
      </c>
      <c r="E18" s="22" t="inlineStr">
        <is>
          <t>«приймає значення від 0 до 100» (GUI-30) суперечить «qty — ціле число від 1 до 99 включно» (BL-10) і «встановлює нову кількість від 1 до 99 включно» (BL-40): інтерфейс дозволяє 0 і 100, які модуль відхиляє.</t>
        </is>
      </c>
      <c r="F18" s="22" t="inlineStr">
        <is>
          <t>GUI-30: «Поле «Quantity» на сторінці товару — числове, з кнопками «−» і «+» ліворуч і праворуч; приймає цілі значення від 1 до 99 включно; значення за замовчуванням — 1.»</t>
        </is>
      </c>
      <c r="G18" s="22" t="inlineStr">
        <is>
          <t>Коротка К. (КТ), Дрєпіна А. (ІТ), Тимчак А. (ТА)</t>
        </is>
      </c>
      <c r="H18" s="22" t="inlineStr">
        <is>
          <t>прийнято</t>
        </is>
      </c>
      <c r="I18" s="22" t="inlineStr">
        <is>
          <t>audit_korotka №4; audit_drepina №2; audit_tymchak №23</t>
        </is>
      </c>
      <c r="J18" s="22" t="inlineStr">
        <is>
          <t>Виправлення всіх трьох збігаються (1–99, за замовчуванням 1).</t>
        </is>
      </c>
    </row>
    <row r="19">
      <c r="A19" s="22" t="n">
        <v>18</v>
      </c>
      <c r="B19" s="22" t="inlineStr">
        <is>
          <t>GUI-50</t>
        </is>
      </c>
      <c r="C19" s="22" t="inlineStr">
        <is>
          <t>Однозначність</t>
        </is>
      </c>
      <c r="D19" s="22" t="inlineStr">
        <is>
          <t>п. 1, 4 — вимога має одне значення й допускає єдину інтерпретацію</t>
        </is>
      </c>
      <c r="E19" s="22" t="inlineStr">
        <is>
          <t>«відображається біля відповідного поля або у верхній частині форми» — «або» дає два допустимі місця; очікуваний результат тест-кейсу неоднозначний, різні форми можуть поводитися по-різному.</t>
        </is>
      </c>
      <c r="F19" s="22" t="inlineStr">
        <is>
          <t>«Повідомлення про помилку валідації поля форми відображається текстом безпосередньо під відповідним полем; форма, що містить помилки, не надсилається.»</t>
        </is>
      </c>
      <c r="G19" s="22" t="inlineStr">
        <is>
          <t>Коротка К. (КТ), Дрєпіна А. (ІТ)</t>
        </is>
      </c>
      <c r="H19" s="22" t="inlineStr">
        <is>
          <t>прийнято</t>
        </is>
      </c>
      <c r="I19" s="22" t="inlineStr">
        <is>
          <t>audit_korotka №6; audit_drepina №9</t>
        </is>
      </c>
      <c r="J19" s="22" t="inlineStr">
        <is>
          <t>Виправлення збігаються (під полем); Дрєпіна додатково пропонує червоний колір. Місце виводу — потребує підтвердження замовником.</t>
        </is>
      </c>
    </row>
    <row r="20">
      <c r="A20" s="22" t="n">
        <v>19</v>
      </c>
      <c r="B20" s="22" t="inlineStr">
        <is>
          <t>GUI-60 (два рядки)</t>
        </is>
      </c>
      <c r="C20" s="22" t="inlineStr">
        <is>
          <t>Простежуваність</t>
        </is>
      </c>
      <c r="D20" s="22" t="inlineStr">
        <is>
          <t>п. 2 — усі вимоги мають унікальний ідентифікатор</t>
        </is>
      </c>
      <c r="E20" s="22" t="inlineStr">
        <is>
          <t>Дві різні вимоги мають однаковий ID: «GUI-60 Форма входу містить поля «Email address» та «Password»…» і «GUI-60 Форма реєстрації містить поля у такому порядку…».</t>
        </is>
      </c>
      <c r="F20" s="22" t="inlineStr">
        <is>
          <t>Залишити GUI-60 за формою входу; формі реєстрації присвоїти вільний проміжний ID GUI-65 (між GUI-60 і GUI-70); решту ID не змінювати.</t>
        </is>
      </c>
      <c r="G20" s="22" t="inlineStr">
        <is>
          <t>Коротка К. (КТ), Дрєпіна А. (ІТ), Тимчак А. (ТА)</t>
        </is>
      </c>
      <c r="H20" s="22" t="inlineStr">
        <is>
          <t>прийнято</t>
        </is>
      </c>
      <c r="I20" s="22" t="inlineStr">
        <is>
          <t>audit_korotka №7; audit_drepina №4; audit_tymchak №24</t>
        </is>
      </c>
      <c r="J20" s="22" t="inlineStr">
        <is>
          <t>Усі троє пропонують GUI-65 для форми реєстрації.</t>
        </is>
      </c>
    </row>
    <row r="21">
      <c r="A21" s="22" t="n">
        <v>20</v>
      </c>
      <c r="B21" s="22" t="inlineStr">
        <is>
          <t>GUI-70</t>
        </is>
      </c>
      <c r="C21" s="22" t="inlineStr">
        <is>
          <t>Однозначність</t>
        </is>
      </c>
      <c r="D21" s="22" t="inlineStr">
        <is>
          <t>п. 1, 4 — вимога має одне значення й допускає єдину інтерпретацію</t>
        </is>
      </c>
      <c r="E21" s="22" t="inlineStr">
        <is>
          <t>«Порожній кошик відображає текстове повідомлення замість таблиці» — не вказано, яке саме повідомлення; тест-кейс не має очікуваного результату.</t>
        </is>
      </c>
      <c r="F21" s="22" t="inlineStr">
        <is>
          <t>«Порожній кошик відображає замість таблиці текст «The cart is empty».»</t>
        </is>
      </c>
      <c r="G21" s="22" t="inlineStr">
        <is>
          <t>Коротка К. (КТ)</t>
        </is>
      </c>
      <c r="H21" s="22" t="inlineStr">
        <is>
          <t>відхилено після обговорення</t>
        </is>
      </c>
      <c r="I21" s="22" t="inlineStr">
        <is>
          <t>audit_korotka №8</t>
        </is>
      </c>
      <c r="J21" s="22" t="inlineStr">
        <is>
          <t>Сумнівний: автор вказав середню впевненість; другий аудитор розділу 4 (Дрєпіна) не знайшов. Класифікація: аналогічний дефект F-50 віднесено до тестопридатності. Текст — потребує підтвердження замовником.</t>
        </is>
      </c>
    </row>
    <row r="22">
      <c r="A22" s="22" t="n">
        <v>21</v>
      </c>
      <c r="B22" s="22" t="inlineStr">
        <is>
          <t>GUI-80</t>
        </is>
      </c>
      <c r="C22" s="22" t="inlineStr">
        <is>
          <t>Здійсненність</t>
        </is>
      </c>
      <c r="D22" s="22" t="inlineStr">
        <is>
          <t>єдиний пункт — технічні ресурси; залежність від систем, які продукт не контролює</t>
        </is>
      </c>
      <c r="E22" s="22" t="inlineStr">
        <is>
          <t>«…у роздільній здатності не менше 8K (7680×4320 пікселів) без стиснення і завантажуються не довше ніж за 50 мс кожне за будь-якого з'єднання з Інтернетом» — нестиснене 8K-зображення ≈ 100 МБ; завантаження за 50 мс потребує ≈ 16 Гбіт/с, а швидкість з'єднання користувача продукт не контролює.</t>
        </is>
      </c>
      <c r="F22" s="22" t="inlineStr">
        <is>
          <t>Варіант Коротка К. (КТ): «Зображення товару на сторінці товару мають роздільну здатність не менше 1200×1200 пікселів, на картках каталогу — не менше 400×400 пікселів; за з'єднання 10 Мбіт/с зображення картки завантажується не довше ніж за 1 с.»
Варіант Дрєпіна А. (ІТ): «Зображення товарів на картках каталогу і на сторінці товару оптимізуються для веб-середовища (роздільна здатність до 800x800 пікселів, формат WebP або JPEG, розмір до 250 КБ) і завантажуються не довше ніж за 1,5 с при швидкості підключення від 10 Мбіт/с (потребує підтвердження замовником).»</t>
        </is>
      </c>
      <c r="G22" s="22" t="inlineStr">
        <is>
          <t>Коротка К. (КТ), Дрєпіна А. (ІТ)</t>
        </is>
      </c>
      <c r="H22" s="22" t="inlineStr">
        <is>
          <t>прийнято</t>
        </is>
      </c>
      <c r="I22" s="22" t="inlineStr">
        <is>
          <t>audit_korotka №9; audit_drepina №5</t>
        </is>
      </c>
      <c r="J22" s="22" t="inlineStr">
        <is>
          <t>Варіанти суперечать один одному (не менше 1200×1200 / до 800×800) — потребує підтвердження замовником.</t>
        </is>
      </c>
    </row>
    <row r="23">
      <c r="A23" s="22" t="n">
        <v>22</v>
      </c>
      <c r="B23" s="22" t="inlineStr">
        <is>
          <t>GUI-100</t>
        </is>
      </c>
      <c r="C23" s="22" t="inlineStr">
        <is>
          <t>Тестопридатність</t>
        </is>
      </c>
      <c r="D23" s="22" t="inlineStr">
        <is>
          <t>немає критерію «пройдено / не пройдено»; слова-маркери</t>
        </is>
      </c>
      <c r="E23" s="22" t="inlineStr">
        <is>
          <t>«Кольорова схема інтерфейсу є приємною і сучасною, а шрифти — легкими для читання на всіх сторінках» — «приємною», «сучасною», «легкими для читання» неможливо перевірити однозначно.</t>
        </is>
      </c>
      <c r="F23" s="22" t="inlineStr">
        <is>
          <t>«Кольорова схема інтерфейсу забезпечує коефіцієнт контрастності тексту щодо фону не менше 4.5:1 для основного тексту та не менше 3:1 для великих елементів за стандартом WCAG 2.1 AA; розмір основного шрифту становить не менше 14px (потребує підтвердження замовником).»</t>
        </is>
      </c>
      <c r="G23" s="22" t="inlineStr">
        <is>
          <t>Коротка К. (КТ), Дрєпіна А. (ІТ)</t>
        </is>
      </c>
      <c r="H23" s="22" t="inlineStr">
        <is>
          <t>прийнято</t>
        </is>
      </c>
      <c r="I23" s="22" t="inlineStr">
        <is>
          <t>audit_korotka №10; audit_drepina №6</t>
        </is>
      </c>
      <c r="J23" s="22" t="inlineStr">
        <is>
          <t>Виправлення сумісні (4,5:1, 14 px); варіант Дрєпіної повніший (3:1 для великих елементів, WCAG 2.1 AA). Потребує підтвердження замовником.</t>
        </is>
      </c>
    </row>
    <row r="24">
      <c r="A24" s="22" t="n">
        <v>23</v>
      </c>
      <c r="B24" s="22" t="inlineStr">
        <is>
          <t>P-10</t>
        </is>
      </c>
      <c r="C24" s="22" t="inlineStr">
        <is>
          <t>Здійсненність</t>
        </is>
      </c>
      <c r="D24" s="22" t="inlineStr">
        <is>
          <t>єдиний пункт — залежність від систем, які продукт не контролює</t>
        </is>
      </c>
      <c r="E24" s="22" t="inlineStr">
        <is>
          <t>«…повністю завантажується не довше ніж за 0,1 с за будь-якого з'єднання з Інтернетом і на будь-якому пристрої» — час залежить від з'єднання й пристрою користувача; до того ж P-20 дозволяє відповідь API каталогу до 1 с, тож сторінка з даними API не завантажиться за 0,1 с.</t>
        </is>
      </c>
      <c r="F24" s="22" t="inlineStr">
        <is>
          <t>Варіант Коротка К. (КТ): «Сторінка каталогу повністю завантажується не довше ніж за 3 с у 95 % вимірювань у Chrome 120 на настільному комп'ютері за з'єднання 10 Мбіт/с (20 вимірювань інструментом Lighthouse).»
Варіант Дрєпіна А. (ІТ): «Час повного завантаження сторінки каталогу на настільних пристроях не перевищує 2,0 с при швидкості широкосмугового інтернет-з'єднання від 15 Мбіт/с; показник First Contentful Paint (FCP) становить не більше 1,0 с (потребує підтвердження замовником).»</t>
        </is>
      </c>
      <c r="G24" s="22" t="inlineStr">
        <is>
          <t>Коротка К. (КТ), Дрєпіна А. (ІТ)</t>
        </is>
      </c>
      <c r="H24" s="22" t="inlineStr">
        <is>
          <t>прийнято</t>
        </is>
      </c>
      <c r="I24" s="22" t="inlineStr">
        <is>
          <t>audit_korotka №11; audit_drepina №12</t>
        </is>
      </c>
      <c r="J24" s="22" t="inlineStr">
        <is>
          <t>Варіанти різняться значеннями (3 с у 95 % при 10 Мбіт/с / 2 с і FCP 1 с при 15 Мбіт/с) — потребує підтвердження замовником.</t>
        </is>
      </c>
    </row>
    <row r="25">
      <c r="A25" s="22" t="n">
        <v>24</v>
      </c>
      <c r="B25" s="22" t="inlineStr">
        <is>
          <t>S-10</t>
        </is>
      </c>
      <c r="C25" s="22" t="inlineStr">
        <is>
          <t>Тестопридатність</t>
        </is>
      </c>
      <c r="D25" s="22" t="inlineStr">
        <is>
          <t>немає критерію «пройдено / не пройдено»; слово-маркер «надійно»</t>
        </is>
      </c>
      <c r="E25" s="22" t="inlineStr">
        <is>
          <t>«Дані покупців надійно захищені, а система не містить вразливостей» — що спостерігати, невідомо; відсутність вразливостей неможливо довести тестом.</t>
        </is>
      </c>
      <c r="F25" s="22" t="inlineStr">
        <is>
          <t>Варіант Коротка К. (КТ): «Паролі покупців зберігаються лише у вигляді хешу bcrypt; сторінки й API доступні лише через HTTPS (запит по HTTP перенаправляється на HTTPS); запит до даних покупця Б з токеном покупця А повертає код 403.»
Варіант Дрєпіна А. (ІТ): «Усі канали передачі персональних даних покупців захищені протоколом HTTPS (TLS 1.3); паролі зберігаються в базі даних виключно у хешованому вигляді (алгоритм bcrypt із сіллю); за результатами звіту сканування безпеки на локальному тестовому стенді розробників (на публічному demo сканування не проводиться) у релізі відсутні вразливості категорій Critical та High (потребує підтвердження замовником).»</t>
        </is>
      </c>
      <c r="G25" s="22" t="inlineStr">
        <is>
          <t>Коротка К. (КТ), Дрєпіна А. (ІТ)</t>
        </is>
      </c>
      <c r="H25" s="22" t="inlineStr">
        <is>
          <t>прийнято</t>
        </is>
      </c>
      <c r="I25" s="22" t="inlineStr">
        <is>
          <t>audit_korotka №12; audit_drepina №13</t>
        </is>
      </c>
      <c r="J25" s="22" t="inlineStr">
        <is>
          <t>Варіанти частково перетинаються (bcrypt, HTTPS) і можуть бути об'єднані. Коротка: «не містить вразливостей» порушує й здійсненність, головний критерій — тестопридатність. Перелік заходів — потребує підтвердження замовником.</t>
        </is>
      </c>
    </row>
    <row r="26">
      <c r="A26" s="22" t="n">
        <v>25</v>
      </c>
      <c r="B26" s="22" t="inlineStr">
        <is>
          <t>U-10</t>
        </is>
      </c>
      <c r="C26" s="22" t="inlineStr">
        <is>
          <t>Тестопридатність</t>
        </is>
      </c>
      <c r="D26" s="22" t="inlineStr">
        <is>
          <t>немає критерію «пройдено / не пройдено»; слова-маркери «інтуїтивно», «зручно»</t>
        </is>
      </c>
      <c r="E26" s="22" t="inlineStr">
        <is>
          <t>«Інтерфейс є інтуїтивно зрозумілим і зручним для всіх категорій користувачів».</t>
        </is>
      </c>
      <c r="F26" s="22" t="inlineStr">
        <is>
          <t>Варіант Коротка К. (КТ): «Новий користувач без інструкції знаходить товар пошуком, додає його в кошик і доходить до кроку «Payment» не довше ніж за 3 хв і не більше ніж з однією помилкою; перевірка на 5 учасниках, критерій — 4 з 5.»
Варіант Дрєпіна А. (ІТ): «Новий користувач без попереднього інструктажу успішно проходить наскрізний чекаут не довше ніж за 3 хвилини; показник Task Success Rate становить не менше 90% при вибірці з 10 респондентів (потребує підтвердження замовником).»</t>
        </is>
      </c>
      <c r="G26" s="22" t="inlineStr">
        <is>
          <t>Коротка К. (КТ), Дрєпіна А. (ІТ)</t>
        </is>
      </c>
      <c r="H26" s="22" t="inlineStr">
        <is>
          <t>прийнято</t>
        </is>
      </c>
      <c r="I26" s="22" t="inlineStr">
        <is>
          <t>audit_korotka №13; audit_drepina №14</t>
        </is>
      </c>
      <c r="J26" s="22" t="inlineStr">
        <is>
          <t>Варіанти різняться методикою (4 з 5 учасників / 90 % з 10 респондентів) — потребує підтвердження замовником.</t>
        </is>
      </c>
    </row>
    <row r="27">
      <c r="A27" s="22" t="n">
        <v>26</v>
      </c>
      <c r="B27" s="22" t="inlineStr">
        <is>
          <t>розд. 6, між U-20 і D-10 (без ID)</t>
        </is>
      </c>
      <c r="C27" s="22" t="inlineStr">
        <is>
          <t>Простежуваність</t>
        </is>
      </c>
      <c r="D27" s="22" t="inlineStr">
        <is>
          <t>п. 2 — усі вимоги мають унікальний ідентифікатор</t>
        </is>
      </c>
      <c r="E27" s="22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пікселі)» — рядок вимоги без ідентифікатора.</t>
        </is>
      </c>
      <c r="F27" s="22" t="inlineStr">
        <is>
          <t>Присвоїти вільний ID U-30 (наступний у групі U, крок 10).</t>
        </is>
      </c>
      <c r="G27" s="22" t="inlineStr">
        <is>
          <t>Коротка К. (КТ), Дрєпіна А. (ІТ)</t>
        </is>
      </c>
      <c r="H27" s="22" t="inlineStr">
        <is>
          <t>прийнято</t>
        </is>
      </c>
      <c r="I27" s="22" t="inlineStr">
        <is>
          <t>audit_korotka №14; audit_drepina №15</t>
        </is>
      </c>
      <c r="J27" s="22" t="inlineStr">
        <is>
          <t>Обидва пропонують U-30. Зміст рядка суперечить 2.2 — див. рядок «2.2 ↔ розд. 6».</t>
        </is>
      </c>
    </row>
    <row r="28">
      <c r="A28" s="22" t="n">
        <v>27</v>
      </c>
      <c r="B28" s="22" t="inlineStr">
        <is>
          <t>D-10</t>
        </is>
      </c>
      <c r="C28" s="22" t="inlineStr">
        <is>
          <t>Повнота</t>
        </is>
      </c>
      <c r="D28" s="22" t="inlineStr">
        <is>
          <t>п. 3 — немає посилань на неіснуючі документи</t>
        </is>
      </c>
      <c r="E28" s="22" t="inlineStr">
        <is>
          <t>«розділ про програму лояльності укладено згідно з «Регламентом програми лояльності ШопЛайн-ЛП-2025», розділ 4» — цього документа немає в 1.4 «Посилання».</t>
        </is>
      </c>
      <c r="F28" s="22" t="inlineStr">
        <is>
          <t>«…розділ про програму лояльності описує правила BL-50 – BL-80 цієї специфікації (знижка за обсяг, вартість доставки, промокоди).»</t>
        </is>
      </c>
      <c r="G28" s="22" t="inlineStr">
        <is>
          <t>Коротка К. (КТ), Дрєпіна А. (ІТ)</t>
        </is>
      </c>
      <c r="H28" s="22" t="inlineStr">
        <is>
          <t>прийнято</t>
        </is>
      </c>
      <c r="I28" s="22" t="inlineStr">
        <is>
          <t>audit_korotka №15; audit_drepina №16</t>
        </is>
      </c>
      <c r="J28" s="22" t="inlineStr">
        <is>
          <t>Виправлення збігаються за змістом (посилатися на розділ 5 / BL-50 – BL-80). Якщо регламент існує — додати його до 1.4 (потребує підтвердження замовником).</t>
        </is>
      </c>
    </row>
    <row r="29">
      <c r="A29" s="22" t="n">
        <v>28</v>
      </c>
      <c r="B29" s="22" t="inlineStr">
        <is>
          <t>BL-10</t>
        </is>
      </c>
      <c r="C29" s="22" t="inlineStr">
        <is>
          <t>Однозначність</t>
        </is>
      </c>
      <c r="D29" s="22" t="inlineStr">
        <is>
          <t>п. 4 (допускає єдину інтерпретацію; правило перевірки межі до чи після округлення)</t>
        </is>
      </c>
      <c r="E29" s="22" t="inlineStr">
        <is>
          <t>«unitPrice — сума в гривнях, строго більша за 0; sku — непорожній рядок... Ціна зберігається з округленням до копійок (HALF_UP).» — не визначено однозначно: перевірка умови «unitPrice &gt; 0» виконується ДО чи ПІСЛЯ округлення за правилом HALF_UP (наприклад, значення 0.004 строго більше 0, але після округлення HALF_UP перетворюється на 0.00 грн).</t>
        </is>
      </c>
      <c r="F29" s="22" t="inlineStr">
        <is>
          <t>«Cart.addItem(sku, name, unitPrice, qty) додає позицію до кошика. Допустимі значення: qty — ціле число від 1 до 99 включно; unitPrice — сума в гривнях, яка після обов'язкового округлення за правилом HALF_UP до 2 знаків після коми є строго більшою за 0.00 грн (перевірка "ціна &gt; 0" виконується після нормалізації/округлення); sku — непорожній рядок. За порушення будь-якої умови метод кидає IllegalArgumentException, а вміст кошика не змінюється.»</t>
        </is>
      </c>
      <c r="G29" s="22" t="inlineStr">
        <is>
          <t>Дрєпіна А. (ІТ)</t>
        </is>
      </c>
      <c r="H29" s="22" t="inlineStr">
        <is>
          <t>прийнято</t>
        </is>
      </c>
      <c r="I29" s="22" t="inlineStr">
        <is>
          <t>audit_drepina №7</t>
        </is>
      </c>
      <c r="J29" s="22" t="inlineStr">
        <is>
          <t>Інший дефект BL-10 (параметр name) — окремий рядок.</t>
        </is>
      </c>
    </row>
    <row r="30">
      <c r="A30" s="22" t="n">
        <v>29</v>
      </c>
      <c r="B30" s="22" t="inlineStr">
        <is>
          <t>BL-10</t>
        </is>
      </c>
      <c r="C30" s="22" t="inlineStr">
        <is>
          <t>Повнота</t>
        </is>
      </c>
      <c r="D30" s="22" t="inlineStr">
        <is>
          <t>п. 4 — обумовлено всі допустимі й недопустимі вхідні дані</t>
        </is>
      </c>
      <c r="E30" s="22" t="inlineStr">
        <is>
          <t>«Допустимі значення: qty — …; unitPrice — …; sku — непорожній рядок» — для параметра name допустимі значення не задано (null, порожній рядок).</t>
        </is>
      </c>
      <c r="F30" s="22" t="inlineStr">
        <is>
          <t>«Допустимі значення: qty — ціле число від 1 до 99 включно; unitPrice — сума в гривнях, строго більша за 0; sku і name — непорожні рядки. …»</t>
        </is>
      </c>
      <c r="G30" s="22" t="inlineStr">
        <is>
          <t>Тимчак А. (ТА)</t>
        </is>
      </c>
      <c r="H30" s="22" t="inlineStr">
        <is>
          <t>прийнято</t>
        </is>
      </c>
      <c r="I30" s="22" t="inlineStr">
        <is>
          <t>audit_tymchak №15</t>
        </is>
      </c>
      <c r="J30" s="22" t="n"/>
    </row>
    <row r="31">
      <c r="A31" s="22" t="n">
        <v>30</v>
      </c>
      <c r="B31" s="22" t="inlineStr">
        <is>
          <t>BL-30 ↔ BL-20</t>
        </is>
      </c>
      <c r="C31" s="22" t="inlineStr">
        <is>
          <t>Простежуваність</t>
        </is>
      </c>
      <c r="D31" s="22" t="inlineStr">
        <is>
          <t>п. 1 — вимоги унікальні й не повторюються за змістом</t>
        </is>
      </c>
      <c r="E31" s="22" t="inlineStr">
        <is>
          <t>BL-30 «Якщо в кошику вже є товар із таким самим артикулом, система не додає окремий рядок, а збільшує кількість у наявному рядку на вказане значення» повторює BL-20 «Повторне додавання позиції з тим самим sku не створює новий рядок, а збільшує кількість наявного рядка на qty».</t>
        </is>
      </c>
      <c r="F31" s="22" t="inlineStr">
        <is>
          <t>Залишити BL-20; BL-30 вилучити із записом у журналі змін (номер не перевикористовувати), посилання на BL-30 замінити на BL-20.</t>
        </is>
      </c>
      <c r="G31" s="22" t="inlineStr">
        <is>
          <t>Коротка К. (КТ), Дрєпіна А. (ІТ), Тимчак А. (ТА)</t>
        </is>
      </c>
      <c r="H31" s="22" t="inlineStr">
        <is>
          <t>прийнято</t>
        </is>
      </c>
      <c r="I31" s="22" t="inlineStr">
        <is>
          <t>audit_korotka №18; audit_drepina №8; audit_tymchak №16</t>
        </is>
      </c>
      <c r="J31" s="22" t="inlineStr">
        <is>
          <t>Усі троє пропонують вилучити BL-30, не перевикористовуючи номер.</t>
        </is>
      </c>
    </row>
    <row r="32">
      <c r="A32" s="22" t="n">
        <v>31</v>
      </c>
      <c r="B32" s="22" t="inlineStr">
        <is>
          <t>BL-40</t>
        </is>
      </c>
      <c r="C32" s="22" t="inlineStr">
        <is>
          <t>Простежуваність</t>
        </is>
      </c>
      <c r="D32" s="22" t="inlineStr">
        <is>
          <t>п. 4 — формат ID дозволяє розділяти вимогу без впливу на решту ID</t>
        </is>
      </c>
      <c r="E32" s="22" t="inlineStr">
        <is>
          <t>BL-40 під одним ID описує чотири методи: «Cart.removeItem(sku) …; Cart.changeQty(sku, qty) …; Cart.subtotal() …; Cart.itemCount() …» — окремий юніт-тест не можна простежити до окремої вимоги.</t>
        </is>
      </c>
      <c r="F32" s="22" t="inlineStr">
        <is>
          <t>BL-40: «Cart.removeItem(sku) видаляє рядок; для відсутнього sku кидає NoSuchElementException.» BL-42: «Cart.changeQty(sku, qty) встановлює нову кількість від 1 до 99 включно (інакше IllegalArgumentException); для відсутнього sku кидає NoSuchElementException.» BL-44: «Cart.subtotal() повертає суму добутків «ціна × кількість» за всіма рядками, округлену до копійок (HALF_UP); для порожнього кошика — 0.00.» BL-46: «Cart.itemCount() повертає суму кількостей усіх рядків; для порожнього кошика — 0.»</t>
        </is>
      </c>
      <c r="G32" s="22" t="inlineStr">
        <is>
          <t>Тимчак А. (ТА)</t>
        </is>
      </c>
      <c r="H32" s="22" t="inlineStr">
        <is>
          <t>відхилено після обговорення</t>
        </is>
      </c>
      <c r="I32" s="22" t="inlineStr">
        <is>
          <t>audit_tymchak №17</t>
        </is>
      </c>
      <c r="J32" s="22" t="inlineStr">
        <is>
          <t>Класифікація: п. 4 перевіряє формат ID, а не складеність вимоги; другий аудитор розділу 5 (Дрєпіна) не знайшов.</t>
        </is>
      </c>
    </row>
    <row r="33">
      <c r="A33" s="22" t="n">
        <v>32</v>
      </c>
      <c r="B33" s="22" t="inlineStr">
        <is>
          <t>BL-50</t>
        </is>
      </c>
      <c r="C33" s="22" t="inlineStr">
        <is>
          <t>Однозначність</t>
        </is>
      </c>
      <c r="D33" s="22" t="inlineStr">
        <is>
          <t>п. 4 — вимога точна і допускає єдину інтерпретацію</t>
        </is>
      </c>
      <c r="E33" s="22" t="inlineStr">
        <is>
          <t>«при сумі від 2000 грн — 5 %, від 5000 грн — 10 %, від 10000 грн — 15 %» — діапазони перекриваються (сума 6000 грн одночасно «від 2000» і «від 5000»), межі не позначено як включні чи виключні.</t>
        </is>
      </c>
      <c r="F33" s="22" t="inlineStr">
        <is>
          <t>«… обчислює знижку за обсяг: subtotal &lt; 2000 — 0 %; 2000 ≤ subtotal &lt; 5000 — 5 %; 5000 ≤ subtotal &lt; 10000 — 10 %; subtotal ≥ 10000 — 15 %; …»</t>
        </is>
      </c>
      <c r="G33" s="22" t="inlineStr">
        <is>
          <t>Тимчак А. (ТА)</t>
        </is>
      </c>
      <c r="H33" s="22" t="inlineStr">
        <is>
          <t>відхилено після обговорення</t>
        </is>
      </c>
      <c r="I33" s="22" t="inlineStr">
        <is>
          <t>audit_tymchak №18</t>
        </is>
      </c>
      <c r="J33" s="22" t="n"/>
    </row>
    <row r="34">
      <c r="A34" s="22" t="n">
        <v>33</v>
      </c>
      <c r="B34" s="22" t="inlineStr">
        <is>
          <t>BL-60</t>
        </is>
      </c>
      <c r="C34" s="22" t="inlineStr">
        <is>
          <t>Однозначність</t>
        </is>
      </c>
      <c r="D34" s="22" t="inlineStr">
        <is>
          <t>п. 4 — вимога точна і допускає єдину інтерпретацію</t>
        </is>
      </c>
      <c r="E34" s="22" t="inlineStr">
        <is>
          <t>«shippingFee(subtotalAfterDiscount) … якщо сума після знижки не менша за 1500 грн» — не визначено, яку знижку віднімають: лише за обсягом (BL-50) чи також за промокодом (BL-80).</t>
        </is>
      </c>
      <c r="F34" s="22" t="inlineStr">
        <is>
          <t>«… де subtotalAfterDiscount = subtotal − знижка за обсяг (BL-50) − знижка за промокодом (BL-80); повертає 0.00 грн, якщо subtotalAfterDiscount не менша за 1500 грн, інакше 120.00 грн. …»</t>
        </is>
      </c>
      <c r="G34" s="22" t="inlineStr">
        <is>
          <t>Тимчак А. (ТА)</t>
        </is>
      </c>
      <c r="H34" s="22" t="inlineStr">
        <is>
          <t>прийнято</t>
        </is>
      </c>
      <c r="I34" s="22" t="inlineStr">
        <is>
          <t>audit_tymchak №19</t>
        </is>
      </c>
      <c r="J34" s="22" t="inlineStr">
        <is>
          <t>Пов'язано з рядком F-110 ↔ BL-60 (база порогу). Потребує підтвердження замовником.</t>
        </is>
      </c>
    </row>
    <row r="35">
      <c r="A35" s="22" t="n">
        <v>34</v>
      </c>
      <c r="B35" s="22" t="inlineStr">
        <is>
          <t>BL-70</t>
        </is>
      </c>
      <c r="C35" s="22" t="inlineStr">
        <is>
          <t>Тестопридатність</t>
        </is>
      </c>
      <c r="D35" s="22" t="inlineStr">
        <is>
          <t>практичний тест: тест-кейс з однозначним результатом «пройдено / не пройдено»</t>
        </is>
      </c>
      <c r="E35" s="22" t="inlineStr">
        <is>
          <t>«Результат містить ознаку придатності та причину відмови» — можливі причини відмови не перелічено, тож тест не може перевірити, що повернуто правильну причину.</t>
        </is>
      </c>
      <c r="F35" s="22" t="inlineStr">
        <is>
          <t>«… Причина відмови — одне зі значень: NOT_FOUND (код не існує), INVALID_FORMAT (довжина поза межами 6–10 символів), EXPIRED (дата закінчення раніша за today), ALREADY_USED (одноразовий код уже використано), INVALID_VALUE (значення поза допустимими межами); для придатного коду причина порожня.»</t>
        </is>
      </c>
      <c r="G35" s="22" t="inlineStr">
        <is>
          <t>Тимчак А. (ТА)</t>
        </is>
      </c>
      <c r="H35" s="22" t="inlineStr">
        <is>
          <t>прийнято</t>
        </is>
      </c>
      <c r="I35" s="22" t="inlineStr">
        <is>
          <t>audit_tymchak №20</t>
        </is>
      </c>
      <c r="J35" s="22" t="n"/>
    </row>
    <row r="36">
      <c r="A36" s="22" t="n">
        <v>35</v>
      </c>
      <c r="B36" s="22" t="inlineStr">
        <is>
          <t>BL-80</t>
        </is>
      </c>
      <c r="C36" s="22" t="inlineStr">
        <is>
          <t>Здійсненність</t>
        </is>
      </c>
      <c r="D36" s="22" t="inlineStr">
        <is>
          <t>виконання не залежить від систем, які продукт не контролює</t>
        </is>
      </c>
      <c r="E36" s="22" t="inlineStr">
        <is>
          <t>«система перевіряє, що цей код не було використано у жодному іншому інтернет-магазині, зокрема сторонніх» — модуль не має доступу до даних сторонніх магазинів; до того ж за 2.3 бібліотека «без зовнішніх залежностей».</t>
        </is>
      </c>
      <c r="F36" s="22" t="inlineStr">
        <is>
          <t>«Перед застосуванням одноразового коду метод перевіряє, що код не позначений як використаний у ШопЛайн; використаний код відхиляється (IllegalArgumentException із причиною відмови за BL-70).»</t>
        </is>
      </c>
      <c r="G36" s="22" t="inlineStr">
        <is>
          <t>Дрєпіна А. (ІТ), Тимчак А. (ТА)</t>
        </is>
      </c>
      <c r="H36" s="22" t="inlineStr">
        <is>
          <t>прийнято</t>
        </is>
      </c>
      <c r="I36" s="22" t="inlineStr">
        <is>
          <t>audit_drepina №11; audit_tymchak №21</t>
        </is>
      </c>
      <c r="J36" s="22" t="inlineStr">
        <is>
          <t>Виправлення збігаються (перевірка лише в межах ШопЛайн, IllegalArgumentException).</t>
        </is>
      </c>
    </row>
    <row r="37">
      <c r="A37" s="22" t="n">
        <v>36</v>
      </c>
      <c r="B37" s="22" t="inlineStr">
        <is>
          <t>BL-70, BL-80 (немає вимоги)</t>
        </is>
      </c>
      <c r="C37" s="22" t="inlineStr">
        <is>
          <t>Повнота</t>
        </is>
      </c>
      <c r="D37" s="22" t="inlineStr">
        <is>
          <t>п. 2 — усі необхідні вимоги присутні</t>
        </is>
      </c>
      <c r="E37" s="22" t="inlineStr">
        <is>
          <t>BL-70: фіксована сума «не перевищує subtotal», BL-50: знижка за обсяг — до 15 % від subtotal; правила сумісного застосування знижок немає, тож сума до оплати може бути від'ємною (subtotal 2000, знижка за обсяг 100, промокод 2000 → −100).</t>
        </is>
      </c>
      <c r="F37" s="22" t="inlineStr">
        <is>
          <t>Нова вимога BL-90: «Сума до оплати = subtotal − знижка за обсяг (BL-50) − знижка за промокодом (BL-80); якщо результат менший за 0.00, він дорівнює 0.00; до суми до оплати додається вартість доставки (BL-60).»</t>
        </is>
      </c>
      <c r="G37" s="22" t="inlineStr">
        <is>
          <t>Тимчак А. (ТА)</t>
        </is>
      </c>
      <c r="H37" s="22" t="inlineStr">
        <is>
          <t>прийнято</t>
        </is>
      </c>
      <c r="I37" s="22" t="inlineStr">
        <is>
          <t>audit_tymchak №22</t>
        </is>
      </c>
      <c r="J37" s="22" t="n"/>
    </row>
  </sheetData>
  <autoFilter ref="A1:J37"/>
  <mergeCells count="1">
    <mergeCell ref="L13:M20"/>
  </mergeCells>
  <conditionalFormatting sqref="A2:J37">
    <cfRule type="expression" priority="1" dxfId="0">
      <formula>$H2="спірне"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52" customWidth="1" min="2" max="2"/>
    <col width="62" customWidth="1" min="3" max="3"/>
    <col width="22" customWidth="1" min="4" max="4"/>
    <col width="20" customWidth="1" min="5" max="5"/>
    <col width="52" customWidth="1" min="6" max="6"/>
  </cols>
  <sheetData>
    <row r="1">
      <c r="A1" s="5" t="inlineStr">
        <is>
          <t>Рядок реєстру</t>
        </is>
      </c>
      <c r="B1" s="5" t="inlineStr">
        <is>
          <t>Аргумент «за»</t>
        </is>
      </c>
      <c r="C1" s="5" t="inlineStr">
        <is>
          <t>Аргумент «проти»</t>
        </is>
      </c>
      <c r="D1" s="5" t="inlineStr">
        <is>
          <t>Рішення</t>
        </is>
      </c>
      <c r="E1" s="5" t="inlineStr">
        <is>
          <t>Хто вирішив / дата</t>
        </is>
      </c>
      <c r="F1" s="5" t="inlineStr">
        <is>
          <t>Пропозиція адвоката (чернетка до обговорення)</t>
        </is>
      </c>
    </row>
    <row r="2">
      <c r="A2" s="7" t="inlineStr">
        <is>
          <t>№8 · F-50 · Тестопридатність
Автор: Тимчак А. (ТА)
Позначено ТА як спірне</t>
        </is>
      </c>
      <c r="B2" s="7" t="inlineStr">
        <is>
          <t>F-50: «система показує текстове повідомлення про відсутність товарів» — текст не заданий. На demo виводиться «There are no products found.» (звірено 08.10.2026), але зі SRS цього не випливає: тест-кейс і розробник можуть очікувати різне формулювання (практичний тест чек-листа тестопридатності).</t>
        </is>
      </c>
      <c r="C2" s="7" t="inlineStr">
        <is>
          <t>Практичний тест тестопридатності проходить: результат «з'являється текстове повідомлення про відсутність товарів» перевіряється за наявністю повідомлення, число чи умова не відсутні. Точне формулювання — деталь дизайну. Виправлення лише називає текст і не додає ні числа, ні умови, ні способу спостереження, тобто за правилом «додає число — тестопридатність; уточнює об'єкт — однозначність» критерій обрано непослідовно: той самий випадок у №20 віднесено до однозначності.</t>
        </is>
      </c>
      <c r="D2" s="7" t="inlineStr">
        <is>
          <t>Відхилено після обговорення: наявність повідомлення про відсутність товарів перевіряється однозначно, порушеного пункту чек-листа немає; точний текст — деталь дизайну. Рішення однакове з №20.</t>
        </is>
      </c>
      <c r="E2" s="7" t="inlineStr">
        <is>
          <t>Команда (модерація: Коротка К., КТ), 08.10.2026</t>
        </is>
      </c>
      <c r="F2" s="7" t="inlineStr">
        <is>
          <t>Відхилити як необґрунтований (немає порушеного пункту чек-листа), якщо автор не покаже, що без точного тексту результат «пройдено / не пройдено» неоднозначний. Якщо команда прийме — один критерій для №8 і №20.</t>
        </is>
      </c>
    </row>
    <row r="3">
      <c r="A3" s="7" t="inlineStr">
        <is>
          <t>№13 · F-110 ↔ розд. 2.3, п. 3 · Несуперечливість
Автор: Тимчак А. (ТА)
Позначено ТА як спірне</t>
        </is>
      </c>
      <c r="B3" s="7" t="inlineStr">
        <is>
          <t>Пряма суперечність: F-110 вимагає в підсумку замовлення «знижку за обсяг, знижку за промокодом і вартість доставки», а 2.3 каже, що модуль програми лояльності «в поточній версії ще не інтегрований в інтерфейс». Те саме зафіксовано в ризику 3 плану тестування. Порушено п. 2 чек-листа несуперечливості.</t>
        </is>
      </c>
      <c r="C3" s="7" t="inlineStr">
        <is>
          <t>Інші аудитори розділу 3 цього не позначили. Виправлення конфліктує з №12: воно прибирає знижки з підсумку, але лишає вартість доставки, правило якої (BL-60) теж належить неінтегрованому модулю, тож виправлення внутрішньо неповне. Вступ SRS: документ описує «поточну версію продукту та вимоги до нової функції», тож F-110 може описувати цільову поведінку нової функції, а не поточний UI. Тоді суперечності немає, є нечітка межа «поточне / нове».</t>
        </is>
      </c>
      <c r="D3" s="7" t="inlineStr">
        <is>
          <t>Прийнято (несуперечливість, п. 2). Окремо не виправляється: F-110 правиться одним рішенням разом із №12 і №33 — знижки й доставка в підсумку замовлення позначаються як вимога нової функції. Потребує підтвердження замовником.</t>
        </is>
      </c>
      <c r="E3" s="7" t="inlineStr">
        <is>
          <t>Команда (модерація: Коротка К., КТ), 08.10.2026</t>
        </is>
      </c>
      <c r="F3" s="7" t="inlineStr">
        <is>
          <t>Прийняти як дефект, але не виправляти окремо від №12: ухвалити одне рішення для F-110. Варіант А — F-110 описує лише поточний UI (сума товарів), а знижки й доставка посилаються на розділ 5. Варіант Б — знижки й доставка в UI позначені як вимога нової функції. Потребує підтвердження замовником.</t>
        </is>
      </c>
    </row>
    <row r="4">
      <c r="A4" s="7" t="inlineStr">
        <is>
          <t>№16 · GUI-10 · Повнота
Автор: Коротка К. (КТ)
Позначено ТА як спірне</t>
        </is>
      </c>
      <c r="B4" s="7" t="inlineStr">
        <is>
          <t>GUI-10 називає «перемикач мови інтерфейсу», але не вказує, які мови доступні й яка мова за замовчуванням; тест не знає, що перевіряти (п. 1 чек-листа повноти). 2.2 фіксує лише, що інтерфейс demo англійською.</t>
        </is>
      </c>
      <c r="C4" s="7" t="inlineStr">
        <is>
          <t>Знайшов один автор із середньою впевненістю; другий аудитор розділу 4 не знайшов. Перелік DE, EL, EN, ES, FR, NL, TR узято з demo (звірено 08.10.2026), а не зі SRS. В ньому немає української, хоча замовник — українська компанія (Житомир), а план тестування (тип 14) спирається на українські формати. Виправлення фіксує набір мов, який може не відповідати потребам замовника: це рішення замовника, а не дефект тексту.</t>
        </is>
      </c>
      <c r="D4" s="7" t="inlineStr">
        <is>
          <t>Відхилено після обговорення як дефект SRS: перелік мов узято з demo, а не зі SRS, і він може не відповідати потребам замовника. Винесено питанням замовнику на демо: які мови підтримує перемикач, чи є українська, яка мова за замовчуванням.</t>
        </is>
      </c>
      <c r="E4" s="7" t="inlineStr">
        <is>
          <t>Команда (модерація: Коротка К., КТ), 08.10.2026</t>
        </is>
      </c>
      <c r="F4" s="7" t="inlineStr">
        <is>
          <t>Прийняти лише як питання замовнику: «які мови підтримує перемикач, чи є українська і яка мова за замовчуванням». Конкретний набір мов у SRS 1.1 не вносити без підтвердження замовником. Інакше відхилити.</t>
        </is>
      </c>
    </row>
    <row r="5">
      <c r="A5" s="7" t="inlineStr">
        <is>
          <t>№20 · GUI-70 · Однозначність
Автор: Коротка К. (КТ)
Позначено ТА як спірне</t>
        </is>
      </c>
      <c r="B5" s="7" t="inlineStr">
        <is>
          <t>GUI-70: «Порожній кошик відображає текстове повідомлення замість таблиці» — текст не заданий; тест-кейс не має точного очікуваного результату. Авторка пропонує «The cart is empty».</t>
        </is>
      </c>
      <c r="C5" s="7" t="inlineStr">
        <is>
          <t>Те саме, що №8: перевірка наявності повідомлення замість таблиці однозначна, формулювання тексту — дизайн. Авторка сама вказала середню впевненість, другий аудитор розділу 4 не знайшов. Запропонований текст на demo не звірено. Критерій (однозначність) відрізняється від №8 (тестопридатність) для того самого типу дефекту.</t>
        </is>
      </c>
      <c r="D5" s="7" t="inlineStr">
        <is>
          <t>Відхилено після обговорення: як і №8, наявність повідомлення замість таблиці перевіряється однозначно; точний текст — деталь дизайну.</t>
        </is>
      </c>
      <c r="E5" s="7" t="inlineStr">
        <is>
          <t>Команда (модерація: Коротка К., КТ), 08.10.2026</t>
        </is>
      </c>
      <c r="F5" s="7" t="inlineStr">
        <is>
          <t>Розглядати разом із №8 і ухвалити однакове рішення: відхилити, або прийняти обидва під одним критерієм. Текст повідомлення — потребує підтвердження замовником.</t>
        </is>
      </c>
    </row>
    <row r="6">
      <c r="A6" s="7" t="inlineStr">
        <is>
          <t>№31 · BL-40 · Простежуваність
Автор: Тимчак А. (ТА)
Позначено ТА як спірне</t>
        </is>
      </c>
      <c r="B6" s="7" t="inlineStr">
        <is>
          <t>BL-40 під одним ID описує чотири методи (removeItem, changeQty, subtotal, itemCount). Юніт-тест (спринт 4) і матриця простежуваності (спринт 5) не можуть послатися на окрему вимогу.</t>
        </is>
      </c>
      <c r="C6" s="7" t="inlineStr">
        <is>
          <t>Названий п. 4 чек-листа простежуваності перевіряє, чи формат ID дозволяє розділяти вимогу без впливу на решту ID; формат із кроком 10 це дозволяє, тож порушення цього пункту немає. Складеність вимоги — це питання атомарності, якого в шести чек-листах немає; пункти 1 і 5 стосуються дублів і перекриття. Другий аудитор розділу 5 не знайшов. Виправлення створює три нові ID (BL-42, BL-44, BL-46) і змінює структуру розділу, не усуваючи порушення названого пункту.</t>
        </is>
      </c>
      <c r="D6" s="7" t="inlineStr">
        <is>
          <t>Відхилено після обговорення: п. 4 чек-листа простежуваності не порушено — формат ID із кроком 10 дозволяє розділити вимогу без впливу на решту ID; інших порушених пунктів не названо.</t>
        </is>
      </c>
      <c r="E6" s="7" t="inlineStr">
        <is>
          <t>Команда (модерація: Коротка К., КТ), 08.10.2026</t>
        </is>
      </c>
      <c r="F6" s="7" t="inlineStr">
        <is>
          <t>Відхилити: названий пункт чек-листа не порушено. Якщо команда хоче залишити рядок, потрібен інший порушений пункт; без нього рядок не рахувати до нормативу.</t>
        </is>
      </c>
    </row>
    <row r="7">
      <c r="A7" s="7" t="inlineStr">
        <is>
          <t>№12 F-110 ↔ BL-60 (несуперечливість) + №33 BL-60 (однозначність)
Автори: усі четверо / Тимчак А. (ТА)
Додано адвокатом: різні виправлення одного питання</t>
        </is>
      </c>
      <c r="B7" s="7" t="inlineStr">
        <is>
          <t>Суперечність порогу безкоштовної доставки підтверджують усі четверо аудиторів (№12), а BL-60 не уточнює, яка саме знижка віднімається (№33). Обидва дефекти справжні, виправлення потрібні.</t>
        </is>
      </c>
      <c r="C7" s="7" t="inlineStr">
        <is>
          <t>Автори пропонують різну базу порогу: після знижки за обсяг (Горбонос, Дрєпіна) або після всіх знижок (Тимчак, Коротка). Беклог спринта 1 схиляє до другого варіанту (але не доводить його): US-08 «поріг рахується від суми після знижок, а не до них», US-09 «сума кошика після знижок перевищує поріг». Поріг 1500 і 2000 грн — теж припущення. US-09 каже «перевищує» (строго більше), BL-60 — «не менша за» (більше або дорівнює); у US-09 випадок «сума точно дорівнює порогу» названо лише тестовим, тож межа не узгоджена. З іншого боку, BL-60 називає параметр subtotalAfterDiscount у класі DiscountCalculator, який рахує лише знижку за обсяг (промокод — окремий клас PromoCodeValidator), тож буквальне читання BL-60 — після знижки за обсяг: саме ця неоднозначність і є дефектом №33. Прийняті як є, обидва рядки дадуть SRS 1.1 дві різні бази порогу.</t>
        </is>
      </c>
      <c r="D7" s="7" t="inlineStr">
        <is>
          <t>Прийнято обидва (№12 — несуперечливість, №33 — однозначність). Одне рішення для F-110 і BL-60: база порогу — сума після знижки за обсяг і знижки за промокодом, поріг 1500 грн, межа «не менша за». Потребує підтвердження замовником.</t>
        </is>
      </c>
      <c r="E7" s="7" t="inlineStr">
        <is>
          <t>Команда (модерація: Коротка К., КТ), 08.10.2026</t>
        </is>
      </c>
      <c r="F7" s="7" t="inlineStr">
        <is>
          <t>Об'єднати №12 і №33 в одне рішення: база порогу = сума після знижки за обсяг і знижки за промокодом (так схиляє беклог US-08/US-09), поріг 1500 грн за BL-60, межа «не менша за». Однаково відобразити в F-110 і BL-60. База, поріг і межа — потребують підтвердження замовником.</t>
        </is>
      </c>
    </row>
    <row r="8">
      <c r="A8" s="7" t="inlineStr">
        <is>
          <t>№32 · BL-50 · Однозначність
Автор: Тимчак А. (ТА)
Додано адвокатом</t>
        </is>
      </c>
      <c r="B8" s="7" t="inlineStr">
        <is>
          <t>BL-50: «при сумі від 2000 грн — 5 %, від 5000 грн — 10 %, від 10000 грн — 15 %». Діапазони формально перекриваються (6000 грн одночасно «від 2000» і «від 5000»), межі не названо включними чи виключними.</t>
        </is>
      </c>
      <c r="C8" s="7" t="inlineStr">
        <is>
          <t>«Від N» означає нижню межу включно, а застосування лише найвищого рівня випливає з беклогу: US-06 «межі трьох рівнів суми (тест на ±1 грн від порогу), застосування лише найвищого рівня». Отже, є єдина інтерпретація і п. 4 чек-листа однозначності не порушено. Виправлення лише переписує ті самі правила нерівностями.</t>
        </is>
      </c>
      <c r="D8" s="7" t="inlineStr">
        <is>
          <t>Відхилено після обговорення: «від N» — нижня межа включно, застосовується лише найвищий рівень (US-06); єдина інтерпретація існує, п. 4 не порушено.</t>
        </is>
      </c>
      <c r="E8" s="7" t="inlineStr">
        <is>
          <t>Команда (модерація: Коротка К., КТ), 08.10.2026</t>
        </is>
      </c>
      <c r="F8" s="7" t="inlineStr">
        <is>
          <t>Відхилити як необґрунтований, або перевести в рекомендацію (запис нерівностями) без підрахунку до нормативу.</t>
        </is>
      </c>
    </row>
    <row r="9">
      <c r="A9" s="7" t="inlineStr">
        <is>
          <t>№34 · BL-70 · Тестопридатність
Автор: Тимчак А. (ТА)
Додано адвокатом</t>
        </is>
      </c>
      <c r="B9" s="7" t="inlineStr">
        <is>
          <t>BL-70: «Результат містить ознаку придатності та причину відмови» — перелік причин не заданий; тест не може перевірити, яку саме причину повернуто.</t>
        </is>
      </c>
      <c r="C9" s="7" t="inlineStr">
        <is>
          <t>Причини однозначно виводяться з п'яти умов самого BL-70 (довжина, дата, одноразовість, відсоток, фіксована сума). Виправлення додає значення NOT_FOUND («код не існує»), якого в SRS немає: validate(code, today, subtotal) не має реєстру кодів, тож це нова поведінка без основи, тобто виправлення породжує новий дефект. Воно також змінює тип «причини» (текст → перелік кодів) без позначки «потребує підтвердження замовником».</t>
        </is>
      </c>
      <c r="D9" s="7" t="inlineStr">
        <is>
          <t>Прийнято (тестопридатність). Виправлення переписує ТА перед SRS 1.1: прибрати NOT_FOUND, по одній причині на кожну умову BL-70, позначка «потребує підтвердження замовником».</t>
        </is>
      </c>
      <c r="E9" s="7" t="inlineStr">
        <is>
          <t>Команда (модерація: Коротка К., КТ), 08.10.2026</t>
        </is>
      </c>
      <c r="F9" s="7" t="inlineStr">
        <is>
          <t>Прийняти дефект, але переписати виправлення: прибрати NOT_FOUND, зв'язати по одній причині з кожною умовою BL-70, позначити «потребує підтвердження замовником».</t>
        </is>
      </c>
    </row>
    <row r="10">
      <c r="A10" s="7" t="inlineStr">
        <is>
          <t>№36 · BL-70, BL-80 (немає вимоги) · Повнота
Автор: Тимчак А. (ТА)
Додано адвокатом</t>
        </is>
      </c>
      <c r="B10" s="7" t="inlineStr">
        <is>
          <t>Реальна прогалина (п. 2 чек-листа повноти): BL-70 дозволяє фіксований промокод до subtotal, а BL-50 дає знижку за обсяг окремо. Для subtotal 2000 грн: 2000 − 100 (5 %) − 2000 (промокод) = −100 грн. Правил сумісного застосування знижок немає.</t>
        </is>
      </c>
      <c r="C10" s="7" t="inlineStr">
        <is>
          <t>Виправлення додає нову вимогу BL-90, яка вирішує бізнес-питання (обрізання до 0.00) без позначки «потребує підтвердження замовником»: колонка «Примітка» порожня. Воно додає до суми вартість доставки, чого немає в BL-60 (shippingFee лише повертає вартість) — це вихід за межі дефекту. Методу «сума до оплати» в модулі немає, тож BL-90 вимагає нового API. Знайшов один автор. Простіше виправлення: обмежити фіксований промокод у BL-70 значенням subtotal мінус знижка за обсяг.</t>
        </is>
      </c>
      <c r="D10" s="7" t="inlineStr">
        <is>
          <t>Прийнято (повнота, п. 2). Виправлення переписує ТА перед SRS 1.1: обмежити фіксований промокод у BL-70 (не більше subtotal мінус знижка за обсяг) або BL-90 лише з обрізанням до 0.00 і без доставки; потребує підтвердження замовником.</t>
        </is>
      </c>
      <c r="E10" s="7" t="inlineStr">
        <is>
          <t>Команда (модерація: Коротка К., КТ), 08.10.2026</t>
        </is>
      </c>
      <c r="F10" s="7" t="inlineStr">
        <is>
          <t>Прийняти дефект, але переписати виправлення: або обмеження в BL-70 (фіксована сума не більша за subtotal мінус знижка за обсяг), або BL-90 лише з обрізанням до 0.00 і без доставки. Потребує підтвердження замовником.</t>
        </is>
      </c>
    </row>
    <row r="12" ht="32" customHeight="1">
      <c r="A12" s="10" t="inlineStr">
        <is>
          <t>ШопЛайн · Спринт 2 · 08.10.2026 · Аркуш веде: Горбонос О. (СМ), «адвокат замовника».</t>
        </is>
      </c>
    </row>
    <row r="13" ht="32" customHeight="1">
      <c r="A13" s="10" t="inlineStr">
        <is>
          <t>Рядки №8, 13, 16, 20, 31 позначила ТА як «спірне»; решту додано адвокатом за результатами перевірки реєстру (36 рядків) проти SRS 1.0 і беклогу спринта 1.</t>
        </is>
      </c>
    </row>
    <row r="14" ht="32" customHeight="1">
      <c r="A14" s="10" t="inlineStr">
        <is>
          <t>Стовпці «Рішення» і «Хто вирішив / дата» заповнюються після обговорення командою за модерації КТ; стовпець «Пропозиція адвоката» — чернетка, не рішення. Необґрунтовані рядки позначаються «відхилено після обговорення» і лишаються в «Реєстрі» зі статусом.</t>
        </is>
      </c>
    </row>
  </sheetData>
  <mergeCells count="3">
    <mergeCell ref="A13:F13"/>
    <mergeCell ref="A14:F14"/>
    <mergeCell ref="A12:F1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81"/>
  <sheetViews>
    <sheetView zoomScale="9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4" customWidth="1" min="1" max="1"/>
    <col width="24" customWidth="1" min="2" max="2"/>
    <col width="18" customWidth="1" min="3" max="3"/>
    <col width="26" customWidth="1" min="4" max="4"/>
    <col width="14" customWidth="1" min="5" max="5"/>
    <col width="80" customWidth="1" min="6" max="6"/>
    <col width="16" customWidth="1" min="7" max="7"/>
    <col width="24" customWidth="1" min="8" max="8"/>
    <col width="3" customWidth="1" min="9" max="9"/>
    <col width="32" customWidth="1" min="10" max="10"/>
    <col width="10" customWidth="1" min="11" max="11"/>
  </cols>
  <sheetData>
    <row r="1">
      <c r="A1" s="21" t="inlineStr">
        <is>
          <t>Артефакт/рядок</t>
        </is>
      </c>
      <c r="B1" s="21" t="inlineStr">
        <is>
          <t>Автор</t>
        </is>
      </c>
      <c r="C1" s="21" t="inlineStr">
        <is>
          <t>Рецензент</t>
        </is>
      </c>
      <c r="D1" s="21" t="inlineStr">
        <is>
          <t>Перевірені пункти</t>
        </is>
      </c>
      <c r="E1" s="21" t="inlineStr">
        <is>
          <t>Результат</t>
        </is>
      </c>
      <c r="F1" s="21" t="inlineStr">
        <is>
          <t>Зауваження</t>
        </is>
      </c>
      <c r="G1" s="21" t="inlineStr">
        <is>
          <t>Виправлено (дата)</t>
        </is>
      </c>
      <c r="H1" s="21" t="inlineStr">
        <is>
          <t>Повторне підтвердження (ПІБ, дата)</t>
        </is>
      </c>
      <c r="J1" s="25" t="inlineStr">
        <is>
          <t>Результат</t>
        </is>
      </c>
      <c r="K1" s="25" t="inlineStr">
        <is>
          <t>Рядків</t>
        </is>
      </c>
    </row>
    <row r="2">
      <c r="A2" s="22" t="inlineStr">
        <is>
          <t>Реєстр №1 · 2.2 ↔ розд. 6 (вимога про 375 px, без ID) · Несуперечливість</t>
        </is>
      </c>
      <c r="B2" s="22" t="inlineStr">
        <is>
          <t>Горбонос О. (СМ), Коротка К. (КТ)</t>
        </is>
      </c>
      <c r="C2" s="22" t="inlineStr">
        <is>
          <t>Дрєпіна А. (ІТ)</t>
        </is>
      </c>
      <c r="D2" s="22" t="inlineStr">
        <is>
          <t>—</t>
        </is>
      </c>
      <c r="E2" s="22" t="inlineStr">
        <is>
          <t>очікує ІТ</t>
        </is>
      </c>
      <c r="F2" s="22" t="inlineStr">
        <is>
          <t>СМ і КТ — співавтори рядка, тому рецензує ІТ (не автор цього рядка). Рецензія ІТ ще не внесена.</t>
        </is>
      </c>
      <c r="G2" s="22" t="n"/>
      <c r="H2" s="22" t="n"/>
      <c r="J2" s="28" t="inlineStr">
        <is>
          <t>пройшло</t>
        </is>
      </c>
      <c r="K2" s="26">
        <f>COUNTIF($E$2:$E$72,J2)</f>
        <v/>
      </c>
    </row>
    <row r="3">
      <c r="A3" s="22" t="inlineStr">
        <is>
          <t>Реєстр №2 · F-10 · Повнота</t>
        </is>
      </c>
      <c r="B3" s="22" t="inlineStr">
        <is>
          <t>Тимчак А. (ТА)</t>
        </is>
      </c>
      <c r="C3" s="22" t="inlineStr">
        <is>
          <t>Горбонос О. (СМ)</t>
        </is>
      </c>
      <c r="D3" s="22" t="inlineStr">
        <is>
          <t>1✓ 2✓ 3✓ 4✓ 5✓ 6✗ 7✓</t>
        </is>
      </c>
      <c r="E3" s="22" t="inlineStr">
        <is>
          <t>не пройшло</t>
        </is>
      </c>
      <c r="F3" s="22" t="inlineStr">
        <is>
          <t>Виправлення робить «область (штат)» необов'язковою, але на demo поле state обов'язкове (aria-required=true у формі реєстрації, перевірено 12.10.2026), а F-110 (крок 3) включає область до адреси доставки. Узгодити: або «область» стає обов'язковою, або змінити F-110; позначити «потребує підтвердження замовником». Повернено ТА.</t>
        </is>
      </c>
      <c r="G3" s="22" t="n"/>
      <c r="H3" s="22" t="n"/>
      <c r="J3" s="28" t="inlineStr">
        <is>
          <t>не пройшло</t>
        </is>
      </c>
      <c r="K3" s="26">
        <f>COUNTIF($E$2:$E$72,J3)</f>
        <v/>
      </c>
    </row>
    <row r="4">
      <c r="A4" s="22" t="inlineStr">
        <is>
          <t>Реєстр №3 · F-10 · Повнота</t>
        </is>
      </c>
      <c r="B4" s="22" t="inlineStr">
        <is>
          <t>Тимчак А. (ТА)</t>
        </is>
      </c>
      <c r="C4" s="22" t="inlineStr">
        <is>
          <t>Горбонос О. (СМ)</t>
        </is>
      </c>
      <c r="D4" s="22" t="inlineStr">
        <is>
          <t>1✓ 2✓ 3✓ 4✓ 5✓ 6✓ 7✓</t>
        </is>
      </c>
      <c r="E4" s="22" t="inlineStr">
        <is>
          <t>пройшло</t>
        </is>
      </c>
      <c r="F4" s="22" t="inlineStr">
        <is>
          <t>Редакційне: текст «A customer with this email address already exists.» не звірено з demo (потрібна реєстрація з наявним email); у Примітці вже стоїть «потребує підтвердження замовником».</t>
        </is>
      </c>
      <c r="G4" s="22" t="n"/>
      <c r="H4" s="22" t="n"/>
      <c r="J4" s="28" t="inlineStr">
        <is>
          <t>очікує КТ</t>
        </is>
      </c>
      <c r="K4" s="26">
        <f>COUNTIF($E$2:$E$72,J4)</f>
        <v/>
      </c>
    </row>
    <row r="5">
      <c r="A5" s="22" t="inlineStr">
        <is>
          <t>Реєстр №4 · F-20 · Однозначність</t>
        </is>
      </c>
      <c r="B5" s="22" t="inlineStr">
        <is>
          <t>Горбонос О. (СМ), Тимчак А. (ТА)</t>
        </is>
      </c>
      <c r="C5" s="22" t="inlineStr">
        <is>
          <t>Коротка К. (КТ)</t>
        </is>
      </c>
      <c r="D5" s="22" t="inlineStr">
        <is>
          <t>1✓ 2✓ 3✓ 4✓ 5✓ 6✗ 7✓</t>
        </is>
      </c>
      <c r="E5" s="22" t="inlineStr">
        <is>
          <t>не пройшло</t>
        </is>
      </c>
      <c r="F5" s="22" t="inlineStr">
        <is>
          <t>СМ — автор рядка, рецензує КТ (правило незалежності). Рецензія КТ (Коротка К.), 12.10.2026: варіант ТА («перенаправляє … на сторінку особистого кабінету (F-130)») суперечить F-110: після входу на кроці 2 «Sign in» покупець переходить на крок 3, а не в кабінет. Варіант СМ цю ситуацію враховує. Обрати варіант СМ і прибрати варіант ТА до SRS 1.1. Повернено ТА.</t>
        </is>
      </c>
      <c r="G5" s="22" t="n"/>
      <c r="H5" s="22" t="n"/>
      <c r="J5" s="28" t="inlineStr">
        <is>
          <t>очікує ІТ</t>
        </is>
      </c>
      <c r="K5" s="26">
        <f>COUNTIF($E$2:$E$72,J5)</f>
        <v/>
      </c>
    </row>
    <row r="6">
      <c r="A6" s="22" t="inlineStr">
        <is>
          <t>Реєстр №5 · F-30 · Здійсненність</t>
        </is>
      </c>
      <c r="B6" s="22" t="inlineStr">
        <is>
          <t>Горбонос О. (СМ), Тимчак А. (ТА)</t>
        </is>
      </c>
      <c r="C6" s="22" t="inlineStr">
        <is>
          <t>Коротка К. (КТ)</t>
        </is>
      </c>
      <c r="D6" s="22" t="inlineStr">
        <is>
          <t>1✓ 2✓ 3✓ 4✓ 5✓ 6✓ 7✓</t>
        </is>
      </c>
      <c r="E6" s="22" t="inlineStr">
        <is>
          <t>пройшло</t>
        </is>
      </c>
      <c r="F6" s="22" t="inlineStr">
        <is>
          <t>СМ — автор рядка, рецензує КТ (правило незалежності). Рецензія КТ (Коротка К.), 12.10.2026: цитата F-30 дослівна; здійсненність — головний критерій (доставка залежить від стороннього провайдера). Редакційне: два варіанти (1 с / 5 с) — обрати один до SRS 1.1; час передачі вже позначено «потребує підтвердження замовником».</t>
        </is>
      </c>
      <c r="G6" s="22" t="n"/>
      <c r="H6" s="22" t="n"/>
      <c r="J6" s="28" t="inlineStr">
        <is>
          <t>очікує коміт ІТ</t>
        </is>
      </c>
      <c r="K6" s="26">
        <f>COUNTIF($E$2:$E$72,J6)</f>
        <v/>
      </c>
    </row>
    <row r="7">
      <c r="A7" s="22" t="inlineStr">
        <is>
          <t>Реєстр №6 · F-40 ↔ GUI-20 · Несуперечливість</t>
        </is>
      </c>
      <c r="B7" s="22" t="inlineStr">
        <is>
          <t>Горбонос О. (СМ), Коротка К. (КТ), Дрєпіна А. (ІТ), Тимчак А. (ТА)</t>
        </is>
      </c>
      <c r="C7" s="22" t="inlineStr">
        <is>
          <t>—</t>
        </is>
      </c>
      <c r="D7" s="22" t="inlineStr">
        <is>
          <t>—</t>
        </is>
      </c>
      <c r="E7" s="22" t="inlineStr">
        <is>
          <t>немає незалежного рецензента</t>
        </is>
      </c>
      <c r="F7" s="22" t="inlineStr">
        <is>
          <t>СМ — автор рядка. Незалежного рецензента в команді немає (усі четверо — автори); дефект підтверджено незалежним знаходженням чотирма аудиторами (§4.9) і рішенням команди.</t>
        </is>
      </c>
      <c r="G7" s="22" t="n"/>
      <c r="H7" s="22" t="n"/>
      <c r="J7" s="28" t="inlineStr">
        <is>
          <t>очікує SRS 1.1</t>
        </is>
      </c>
      <c r="K7" s="26">
        <f>COUNTIF($E$2:$E$72,J7)</f>
        <v/>
      </c>
    </row>
    <row r="8">
      <c r="A8" s="22" t="inlineStr">
        <is>
          <t>Реєстр №7 · F-50 · Однозначність</t>
        </is>
      </c>
      <c r="B8" s="22" t="inlineStr">
        <is>
          <t>Тимчак А. (ТА)</t>
        </is>
      </c>
      <c r="C8" s="22" t="inlineStr">
        <is>
          <t>Горбонос О. (СМ)</t>
        </is>
      </c>
      <c r="D8" s="22" t="inlineStr">
        <is>
          <t>1✓ 2✓ 3✓ 4✓ 5✓ 6✓ 7✓</t>
        </is>
      </c>
      <c r="E8" s="22" t="inlineStr">
        <is>
          <t>пройшло</t>
        </is>
      </c>
      <c r="F8" s="22" t="inlineStr">
        <is>
          <t>Звірено на demo через API: дві категорії 7+3=10 товарів (об'єднання, «АБО»); два бренди 40+10=50; категорія+бренд = 6 ≤ 7 (перетин, «І»). Виправлення відповідає поведінці demo.</t>
        </is>
      </c>
      <c r="G8" s="22" t="n"/>
      <c r="H8" s="22" t="n"/>
      <c r="J8" s="28" t="inlineStr">
        <is>
          <t>немає незалежного рецензента</t>
        </is>
      </c>
      <c r="K8" s="26">
        <f>COUNTIF($E$2:$E$72,J8)</f>
        <v/>
      </c>
    </row>
    <row r="9">
      <c r="A9" s="22" t="inlineStr">
        <is>
          <t>Реєстр №8 · F-50 · Тестопридатність</t>
        </is>
      </c>
      <c r="B9" s="22" t="inlineStr">
        <is>
          <t>Тимчак А. (ТА)</t>
        </is>
      </c>
      <c r="C9" s="22" t="inlineStr">
        <is>
          <t>Горбонос О. (СМ)</t>
        </is>
      </c>
      <c r="D9" s="22" t="inlineStr">
        <is>
          <t>1✓ 2✓ 3✓ 4–6 н/з 7✓</t>
        </is>
      </c>
      <c r="E9" s="22" t="inlineStr">
        <is>
          <t>пройшло</t>
        </is>
      </c>
      <c r="F9" s="22" t="inlineStr">
        <is>
          <t>Рядок відхилено: рішення «відхилено після обговорення» і підпис КТ (08.10.2026) є в «Спірні». Редакційне (ТА): Примітка в «Реєстрі» містить чернетку («узгодити один критерій») — замінити посиланням на рішення «Спірні».</t>
        </is>
      </c>
      <c r="G9" s="22" t="n"/>
      <c r="H9" s="22" t="n"/>
      <c r="J9" s="27" t="inlineStr">
        <is>
          <t>Разом</t>
        </is>
      </c>
      <c r="K9" s="28">
        <f>SUM(K2:K8)</f>
        <v/>
      </c>
    </row>
    <row r="10">
      <c r="A10" s="22" t="inlineStr">
        <is>
          <t>Реєстр №9 · F-60 · Однозначність</t>
        </is>
      </c>
      <c r="B10" s="22" t="inlineStr">
        <is>
          <t>Горбонос О. (СМ), Тимчак А. (ТА)</t>
        </is>
      </c>
      <c r="C10" s="22" t="inlineStr">
        <is>
          <t>Коротка К. (КТ)</t>
        </is>
      </c>
      <c r="D10" s="22" t="inlineStr">
        <is>
          <t>1✓ 2✓ 3✓ 4✓ 5✓ 6✓ 7✓</t>
        </is>
      </c>
      <c r="E10" s="22" t="inlineStr">
        <is>
          <t>пройшло</t>
        </is>
      </c>
      <c r="F10" s="22" t="inlineStr">
        <is>
          <t>СМ — автор рядка, рецензує КТ (правило незалежності). Рецензія КТ (Коротка К.), 12.10.2026: цитата F-60 дослівна; «схожі» допускає кілька тлумачень (п. 4). Одне спільне виправлення (підрядок без урахування регістру), звірене з demo.</t>
        </is>
      </c>
      <c r="G10" s="22" t="n"/>
      <c r="H10" s="22" t="n"/>
    </row>
    <row r="11">
      <c r="A11" s="22" t="inlineStr">
        <is>
          <t>Реєстр №10 · F-90 · Тестопридатність</t>
        </is>
      </c>
      <c r="B11" s="22" t="inlineStr">
        <is>
          <t>Горбонос О. (СМ), Тимчак А. (ТА)</t>
        </is>
      </c>
      <c r="C11" s="22" t="inlineStr">
        <is>
          <t>Коротка К. (КТ)</t>
        </is>
      </c>
      <c r="D11" s="22" t="inlineStr">
        <is>
          <t>1✓ 2✓ 3✓ 4✓ 5✓ 6✓ 7✓</t>
        </is>
      </c>
      <c r="E11" s="22" t="inlineStr">
        <is>
          <t>пройшло</t>
        </is>
      </c>
      <c r="F11" s="22" t="inlineStr">
        <is>
          <t>СМ — автор рядка, рецензує КТ (правило незалежності). Рецензія КТ (Коротка К.), 12.10.2026: цитата F-90 дослівна; слова-маркери «миттєво», «без помилок» — тестопридатність. Редакційне: два варіанти (1 с / 2 с, різний спосіб спостереження) — обрати один до SRS 1.1; у варіанті ТА до «2 с» і тексту повідомлення додати «потребує підтвердження замовником».</t>
        </is>
      </c>
      <c r="G11" s="22" t="n"/>
      <c r="H11" s="22" t="n"/>
    </row>
    <row r="12">
      <c r="A12" s="22" t="inlineStr">
        <is>
          <t>Реєстр №11 · F-100 · Повнота</t>
        </is>
      </c>
      <c r="B12" s="22" t="inlineStr">
        <is>
          <t>Горбонос О. (СМ), Коротка К. (КТ), Тимчак А. (ТА)</t>
        </is>
      </c>
      <c r="C12" s="22" t="inlineStr">
        <is>
          <t>Дрєпіна А. (ІТ)</t>
        </is>
      </c>
      <c r="D12" s="22" t="inlineStr">
        <is>
          <t>—</t>
        </is>
      </c>
      <c r="E12" s="22" t="inlineStr">
        <is>
          <t>очікує ІТ</t>
        </is>
      </c>
      <c r="F12" s="22" t="inlineStr">
        <is>
          <t>СМ і КТ — співавтори рядка, тому рецензує ІТ (не автор цього рядка). Рецензія ІТ ще не внесена.</t>
        </is>
      </c>
      <c r="G12" s="22" t="n"/>
      <c r="H12" s="22" t="n"/>
    </row>
    <row r="13">
      <c r="A13" s="22" t="inlineStr">
        <is>
          <t>Реєстр №12 · F-110 ↔ BL-60 · Несуперечливість</t>
        </is>
      </c>
      <c r="B13" s="22" t="inlineStr">
        <is>
          <t>Горбонос О. (СМ), Коротка К. (КТ), Дрєпіна А. (ІТ), Тимчак А. (ТА)</t>
        </is>
      </c>
      <c r="C13" s="22" t="inlineStr">
        <is>
          <t>—</t>
        </is>
      </c>
      <c r="D13" s="22" t="inlineStr">
        <is>
          <t>—</t>
        </is>
      </c>
      <c r="E13" s="22" t="inlineStr">
        <is>
          <t>немає незалежного рецензента</t>
        </is>
      </c>
      <c r="F13" s="22" t="inlineStr">
        <is>
          <t>СМ — автор рядка. Незалежного рецензента в команді немає (усі четверо — автори); дефект підтверджено незалежним знаходженням чотирма аудиторами (§4.9) і рішенням команди. Рядок переписано в PR #23 (SCRUM-56).</t>
        </is>
      </c>
      <c r="G13" s="22" t="n"/>
      <c r="H13" s="22" t="n"/>
    </row>
    <row r="14">
      <c r="A14" s="22" t="inlineStr">
        <is>
          <t>Реєстр №13 · F-110 ↔ розд. 2.3, пункт 3 · Несуперечливість</t>
        </is>
      </c>
      <c r="B14" s="22" t="inlineStr">
        <is>
          <t>Тимчак А. (ТА)</t>
        </is>
      </c>
      <c r="C14" s="22" t="inlineStr">
        <is>
          <t>Горбонос О. (СМ)</t>
        </is>
      </c>
      <c r="D14" s="22" t="inlineStr">
        <is>
          <t>1✓ 2✓ 3✓ 4✓ 5✓ 6✗ 7✓</t>
        </is>
      </c>
      <c r="E14" s="22" t="inlineStr">
        <is>
          <t>не пройшло</t>
        </is>
      </c>
      <c r="F14" s="22" t="inlineStr">
        <is>
          <t>На main виправлення (вилучити знижки з підсумку) суперечить рішенню SCRUM-55 («вимога нової функції») і виправленню №12. Переписано в PR #23 (SCRUM-56, відкритий, approve КТ 10.10). Повторне підтвердження — після merge.</t>
        </is>
      </c>
      <c r="G14" s="22" t="n"/>
      <c r="H14" s="22" t="n"/>
    </row>
    <row r="15">
      <c r="A15" s="22" t="inlineStr">
        <is>
          <t>Реєстр №14 · F-120 ↔ GUI-40 · Несуперечливість</t>
        </is>
      </c>
      <c r="B15" s="22" t="inlineStr">
        <is>
          <t>Горбонос О. (СМ), Коротка К. (КТ), Дрєпіна А. (ІТ), Тимчак А. (ТА)</t>
        </is>
      </c>
      <c r="C15" s="22" t="inlineStr">
        <is>
          <t>—</t>
        </is>
      </c>
      <c r="D15" s="22" t="inlineStr">
        <is>
          <t>—</t>
        </is>
      </c>
      <c r="E15" s="22" t="inlineStr">
        <is>
          <t>немає незалежного рецензента</t>
        </is>
      </c>
      <c r="F15" s="22" t="inlineStr">
        <is>
          <t>СМ — автор рядка. Незалежного рецензента в команді немає (усі четверо — автори); дефект підтверджено незалежним знаходженням чотирма аудиторами (§4.9) і рішенням команди.</t>
        </is>
      </c>
      <c r="G15" s="22" t="n"/>
      <c r="H15" s="22" t="n"/>
    </row>
    <row r="16">
      <c r="A16" s="22" t="inlineStr">
        <is>
          <t>Реєстр №15 · F-140 · Повнота</t>
        </is>
      </c>
      <c r="B16" s="22" t="inlineStr">
        <is>
          <t>Горбонос О. (СМ), Тимчак А. (ТА)</t>
        </is>
      </c>
      <c r="C16" s="22" t="inlineStr">
        <is>
          <t>Коротка К. (КТ)</t>
        </is>
      </c>
      <c r="D16" s="22" t="inlineStr">
        <is>
          <t>1✓ 2✓ 3✓ 4✓ 5✓ 6✓ 7✓</t>
        </is>
      </c>
      <c r="E16" s="22" t="inlineStr">
        <is>
          <t>пройшло</t>
        </is>
      </c>
      <c r="F16" s="22" t="inlineStr">
        <is>
          <t>СМ — автор рядка, рецензує КТ (правило незалежності). Рецензія КТ (Коротка К.), 12.10.2026: цитата F-140 дослівна; не задано формат, розмір вкладення і реакцію на недопустимий файл (пп. 4, 5). Редакційне: варіанти суперечать один одному (PDF/PNG/JPG/TXT до 5 МБ / .txt до 500 КБ; максимальна довжина повідомлення лише у ТА) — обрати один до SRS 1.1.</t>
        </is>
      </c>
      <c r="G16" s="22" t="n"/>
      <c r="H16" s="22" t="n"/>
    </row>
    <row r="17">
      <c r="A17" s="22" t="inlineStr">
        <is>
          <t>Реєстр №16 · GUI-10 · Повнота</t>
        </is>
      </c>
      <c r="B17" s="22" t="inlineStr">
        <is>
          <t>Коротка К. (КТ)</t>
        </is>
      </c>
      <c r="C17" s="22" t="inlineStr">
        <is>
          <t>Горбонос О. (СМ)</t>
        </is>
      </c>
      <c r="D17" s="22" t="inlineStr">
        <is>
          <t>1✓ 2✓ 3✓ 4–6 н/з 7✓</t>
        </is>
      </c>
      <c r="E17" s="22" t="inlineStr">
        <is>
          <t>пройшло</t>
        </is>
      </c>
      <c r="F17" s="22" t="inlineStr">
        <is>
          <t>Рядок відхилено; рішення (питання замовнику на демо про мови перемикача) зафіксовано в «Спірні». Редакційне (ТА): Примітка «Сумнівний…» застаріла — додати посилання на рішення.</t>
        </is>
      </c>
      <c r="G17" s="22" t="n"/>
      <c r="H17" s="22" t="n"/>
    </row>
    <row r="18">
      <c r="A18" s="22" t="inlineStr">
        <is>
          <t>Реєстр №17 · GUI-30 ↔ BL-10, BL-40 · Несуперечливість</t>
        </is>
      </c>
      <c r="B18" s="22" t="inlineStr">
        <is>
          <t>Коротка К. (КТ), Дрєпіна А. (ІТ), Тимчак А. (ТА)</t>
        </is>
      </c>
      <c r="C18" s="22" t="inlineStr">
        <is>
          <t>Горбонос О. (СМ)</t>
        </is>
      </c>
      <c r="D18" s="22" t="inlineStr">
        <is>
          <t>1✓ 2✓ 3✓ 4✓ 5✓ 6✓ 7✓</t>
        </is>
      </c>
      <c r="E18" s="22" t="inlineStr">
        <is>
          <t>пройшло</t>
        </is>
      </c>
      <c r="F18" s="22" t="inlineStr">
        <is>
          <t>Цитати дослівні: GUI-30 «від 0 до 100»; BL-10 і BL-40 «від 1 до 99 включно». Три виправлення збігаються.</t>
        </is>
      </c>
      <c r="G18" s="22" t="n"/>
      <c r="H18" s="22" t="n"/>
    </row>
    <row r="19">
      <c r="A19" s="22" t="inlineStr">
        <is>
          <t>Реєстр №18 · GUI-50 · Однозначність</t>
        </is>
      </c>
      <c r="B19" s="22" t="inlineStr">
        <is>
          <t>Коротка К. (КТ), Дрєпіна А. (ІТ)</t>
        </is>
      </c>
      <c r="C19" s="22" t="inlineStr">
        <is>
          <t>Горбонос О. (СМ)</t>
        </is>
      </c>
      <c r="D19" s="22" t="inlineStr">
        <is>
          <t>1✓ 2✓ 3✓ 4✓ 5✓ 6✓ 7✓</t>
        </is>
      </c>
      <c r="E19" s="22" t="inlineStr">
        <is>
          <t>пройшло</t>
        </is>
      </c>
      <c r="F19" s="22" t="inlineStr">
        <is>
          <t>Пп. 1 і 4 однозначності названо за офіційним чек-листом; «або» дає два допустимі місця виведення — дефект підтверджено.</t>
        </is>
      </c>
      <c r="G19" s="22" t="n"/>
      <c r="H19" s="22" t="n"/>
    </row>
    <row r="20">
      <c r="A20" s="22" t="inlineStr">
        <is>
          <t>Реєстр №19 · GUI-60 (два рядки) · Простежуваність</t>
        </is>
      </c>
      <c r="B20" s="22" t="inlineStr">
        <is>
          <t>Коротка К. (КТ), Дрєпіна А. (ІТ), Тимчак А. (ТА)</t>
        </is>
      </c>
      <c r="C20" s="22" t="inlineStr">
        <is>
          <t>Горбонос О. (СМ)</t>
        </is>
      </c>
      <c r="D20" s="22" t="inlineStr">
        <is>
          <t>1✓ 2✓ 3✓ 4✓ 5✓ 6✓ 7✓</t>
        </is>
      </c>
      <c r="E20" s="22" t="inlineStr">
        <is>
          <t>пройшло</t>
        </is>
      </c>
      <c r="F20" s="22" t="inlineStr">
        <is>
          <t>Дублікат підтверджено в SRS 1.0 (два рядки GUI-60 у розд. 4). GUI-65 вільний (крок 10), решта ID не змінюється.</t>
        </is>
      </c>
      <c r="G20" s="22" t="n"/>
      <c r="H20" s="22" t="n"/>
    </row>
    <row r="21">
      <c r="A21" s="22" t="inlineStr">
        <is>
          <t>Реєстр №20 · GUI-70 · Однозначність</t>
        </is>
      </c>
      <c r="B21" s="22" t="inlineStr">
        <is>
          <t>Коротка К. (КТ)</t>
        </is>
      </c>
      <c r="C21" s="22" t="inlineStr">
        <is>
          <t>Горбонос О. (СМ)</t>
        </is>
      </c>
      <c r="D21" s="22" t="inlineStr">
        <is>
          <t>1✓ 2✓ 3✓ 4–6 н/з 7✓</t>
        </is>
      </c>
      <c r="E21" s="22" t="inlineStr">
        <is>
          <t>пройшло</t>
        </is>
      </c>
      <c r="F21" s="22" t="inlineStr">
        <is>
          <t>Рядок відхилено; рішення зафіксовано в «Спірні». Редакційне (ТА): Примітка («Сумнівний…») застаріла.</t>
        </is>
      </c>
      <c r="G21" s="22" t="n"/>
      <c r="H21" s="22" t="n"/>
    </row>
    <row r="22">
      <c r="A22" s="22" t="inlineStr">
        <is>
          <t>Реєстр №21 · GUI-80 · Здійсненність</t>
        </is>
      </c>
      <c r="B22" s="22" t="inlineStr">
        <is>
          <t>Коротка К. (КТ), Дрєпіна А. (ІТ)</t>
        </is>
      </c>
      <c r="C22" s="22" t="inlineStr">
        <is>
          <t>Горбонос О. (СМ)</t>
        </is>
      </c>
      <c r="D22" s="22" t="inlineStr">
        <is>
          <t>1✓ 2✓ 3✓ 4✓ 5✓ 6✓ 7✓</t>
        </is>
      </c>
      <c r="E22" s="22" t="inlineStr">
        <is>
          <t>пройшло</t>
        </is>
      </c>
      <c r="F22" s="22" t="inlineStr">
        <is>
          <t>Розрахунок автора перевірено: 7680×4320×3 байти ≈ 99,5 МБ; за 50 мс це ≈ 16 Гбіт/с. Два виправлення суперечать одне одному (≥1200×1200 / ≤800×800) — ТА обирає один варіант до внесення в SRS 1.1 (перевіряється в рядках «SRS 1.1» нижче).</t>
        </is>
      </c>
      <c r="G22" s="22" t="n"/>
      <c r="H22" s="22" t="n"/>
    </row>
    <row r="23">
      <c r="A23" s="22" t="inlineStr">
        <is>
          <t>Реєстр №22 · GUI-100 · Тестопридатність</t>
        </is>
      </c>
      <c r="B23" s="22" t="inlineStr">
        <is>
          <t>Коротка К. (КТ), Дрєпіна А. (ІТ)</t>
        </is>
      </c>
      <c r="C23" s="22" t="inlineStr">
        <is>
          <t>Горбонос О. (СМ)</t>
        </is>
      </c>
      <c r="D23" s="22" t="inlineStr">
        <is>
          <t>1✓ 2✓ 3✓ 4✓ 5✓ 6✓ 7✓</t>
        </is>
      </c>
      <c r="E23" s="22" t="inlineStr">
        <is>
          <t>пройшло</t>
        </is>
      </c>
      <c r="F23" s="22" t="inlineStr">
        <is>
          <t>GUI-100 існує в SRS (ID розбито переносом «GUI-/100»); показники вимірювані (4,5:1; 3:1; 14 px), позначка замовника є.</t>
        </is>
      </c>
      <c r="G23" s="22" t="n"/>
      <c r="H23" s="22" t="n"/>
    </row>
    <row r="24">
      <c r="A24" s="22" t="inlineStr">
        <is>
          <t>Реєстр №23 · P-10 · Здійсненність</t>
        </is>
      </c>
      <c r="B24" s="22" t="inlineStr">
        <is>
          <t>Коротка К. (КТ), Дрєпіна А. (ІТ)</t>
        </is>
      </c>
      <c r="C24" s="22" t="inlineStr">
        <is>
          <t>Горбонос О. (СМ)</t>
        </is>
      </c>
      <c r="D24" s="22" t="inlineStr">
        <is>
          <t>1✓ 2✓ 3✓ 4✓ 5✓ 6✓ 7✓</t>
        </is>
      </c>
      <c r="E24" s="22" t="inlineStr">
        <is>
          <t>пройшло</t>
        </is>
      </c>
      <c r="F24" s="22" t="inlineStr">
        <is>
          <t>P-20 дозволяє відповідь API до 1 с, тому 0,1 с для сторінки нереальні — здійсненність підтверджено. Варіанти різні (3 с / 10 Мбіт/с; 2 с / 15 Мбіт/с) — обрати один до SRS 1.1.</t>
        </is>
      </c>
      <c r="G24" s="22" t="n"/>
      <c r="H24" s="22" t="n"/>
    </row>
    <row r="25">
      <c r="A25" s="22" t="inlineStr">
        <is>
          <t>Реєстр №24 · S-10 · Тестопридатність</t>
        </is>
      </c>
      <c r="B25" s="22" t="inlineStr">
        <is>
          <t>Коротка К. (КТ), Дрєпіна А. (ІТ)</t>
        </is>
      </c>
      <c r="C25" s="22" t="inlineStr">
        <is>
          <t>Горбонос О. (СМ)</t>
        </is>
      </c>
      <c r="D25" s="22" t="inlineStr">
        <is>
          <t>1✓ 2✓ 3✓ 4✓ 5✓ 6✓ 7✓</t>
        </is>
      </c>
      <c r="E25" s="22" t="inlineStr">
        <is>
          <t>пройшло</t>
        </is>
      </c>
      <c r="F25" s="22" t="inlineStr">
        <is>
          <t>Варіанти КТ і ІТ сумісні (bcrypt, HTTPS) — об'єднати до SRS 1.1. Головний критерій — тестопридатність (пояснено в Примітці), «не містить вразливостей» порушує ще й здійсненність.</t>
        </is>
      </c>
      <c r="G25" s="22" t="n"/>
      <c r="H25" s="22" t="n"/>
    </row>
    <row r="26">
      <c r="A26" s="22" t="inlineStr">
        <is>
          <t>Реєстр №25 · U-10 · Тестопридатність</t>
        </is>
      </c>
      <c r="B26" s="22" t="inlineStr">
        <is>
          <t>Коротка К. (КТ), Дрєпіна А. (ІТ)</t>
        </is>
      </c>
      <c r="C26" s="22" t="inlineStr">
        <is>
          <t>Горбонос О. (СМ)</t>
        </is>
      </c>
      <c r="D26" s="22" t="inlineStr">
        <is>
          <t>1✓ 2✓ 3✓ 4✓ 5✓ 6✓ 7✓</t>
        </is>
      </c>
      <c r="E26" s="22" t="inlineStr">
        <is>
          <t>пройшло</t>
        </is>
      </c>
      <c r="F26" s="22" t="inlineStr">
        <is>
          <t>Варіанти різняться методикою (4 з 5 / 90 % з 10); план (тип 3) використовує варіант ІТ — після вибору варіанта синхронізувати.</t>
        </is>
      </c>
      <c r="G26" s="22" t="n"/>
      <c r="H26" s="22" t="n"/>
    </row>
    <row r="27">
      <c r="A27" s="22" t="inlineStr">
        <is>
          <t>Реєстр №26 · розд. 6, між U-20 і D-10 (без ID) · Простежуваність</t>
        </is>
      </c>
      <c r="B27" s="22" t="inlineStr">
        <is>
          <t>Коротка К. (КТ), Дрєпіна А. (ІТ)</t>
        </is>
      </c>
      <c r="C27" s="22" t="inlineStr">
        <is>
          <t>Горбонос О. (СМ)</t>
        </is>
      </c>
      <c r="D27" s="22" t="inlineStr">
        <is>
          <t>1✓ 2✓ 3✓ 4✓ 5✓ 6✓ 7✓</t>
        </is>
      </c>
      <c r="E27" s="22" t="inlineStr">
        <is>
          <t>пройшло</t>
        </is>
      </c>
      <c r="F27" s="22" t="inlineStr">
        <is>
          <t>Локатор існує: окремий рядок розд. 6 між U-20 і D-10 без ID. U-30 вільний (U-10, U-20 → крок 10).</t>
        </is>
      </c>
      <c r="G27" s="22" t="n"/>
      <c r="H27" s="22" t="n"/>
    </row>
    <row r="28">
      <c r="A28" s="22" t="inlineStr">
        <is>
          <t>Реєстр №27 · D-10 · Повнота</t>
        </is>
      </c>
      <c r="B28" s="22" t="inlineStr">
        <is>
          <t>Коротка К. (КТ), Дрєпіна А. (ІТ)</t>
        </is>
      </c>
      <c r="C28" s="22" t="inlineStr">
        <is>
          <t>Горбонос О. (СМ)</t>
        </is>
      </c>
      <c r="D28" s="22" t="inlineStr">
        <is>
          <t>1✓ 2✓ 3✓ 4✓ 5✓ 6✓ 7✓</t>
        </is>
      </c>
      <c r="E28" s="22" t="inlineStr">
        <is>
          <t>пройшло</t>
        </is>
      </c>
      <c r="F28" s="22" t="inlineStr">
        <is>
          <t>«Регламент … ШопЛайн-ЛП-2025» у 1.4 «Посилання» відсутній (4 пункти) — підтверджено.</t>
        </is>
      </c>
      <c r="G28" s="22" t="n"/>
      <c r="H28" s="22" t="n"/>
    </row>
    <row r="29">
      <c r="A29" s="22" t="inlineStr">
        <is>
          <t>Реєстр №28 · BL-10 · Однозначність</t>
        </is>
      </c>
      <c r="B29" s="22" t="inlineStr">
        <is>
          <t>Дрєпіна А. (ІТ)</t>
        </is>
      </c>
      <c r="C29" s="22" t="inlineStr">
        <is>
          <t>Горбонос О. (СМ)</t>
        </is>
      </c>
      <c r="D29" s="22" t="inlineStr">
        <is>
          <t>1✓ 2✓ 3✓ 4✓ 5✓ 6✓ 7✓</t>
        </is>
      </c>
      <c r="E29" s="22" t="inlineStr">
        <is>
          <t>пройшло</t>
        </is>
      </c>
      <c r="F29" s="22" t="inlineStr">
        <is>
          <t>Редакційне: «unitPrice &gt; 0» в описі — скорочення автора в лапках, не цитата SRS (решта цитат дослівні). Виправлення №28 і №29 правлять одне речення BL-10 — у SRS 1.1 вносити одним записом, щоб не втратити «name».</t>
        </is>
      </c>
      <c r="G29" s="22" t="n"/>
      <c r="H29" s="22" t="n"/>
    </row>
    <row r="30">
      <c r="A30" s="22" t="inlineStr">
        <is>
          <t>Реєстр №29 · BL-10 · Повнота</t>
        </is>
      </c>
      <c r="B30" s="22" t="inlineStr">
        <is>
          <t>Тимчак А. (ТА)</t>
        </is>
      </c>
      <c r="C30" s="22" t="inlineStr">
        <is>
          <t>Горбонос О. (СМ)</t>
        </is>
      </c>
      <c r="D30" s="22" t="inlineStr">
        <is>
          <t>1✓ 2✓ 3✓ 4✓ 5✓ 6✓ 7✓</t>
        </is>
      </c>
      <c r="E30" s="22" t="inlineStr">
        <is>
          <t>пройшло</t>
        </is>
      </c>
      <c r="F30" s="22" t="inlineStr">
        <is>
          <t>Редакційне: правило «name — непорожній рядок» є новою вимогою — додати в Примітку «потребує підтвердження замовником».</t>
        </is>
      </c>
      <c r="G30" s="22" t="n"/>
      <c r="H30" s="22" t="n"/>
    </row>
    <row r="31">
      <c r="A31" s="22" t="inlineStr">
        <is>
          <t>Реєстр №30 · BL-30 ↔ BL-20 · Простежуваність</t>
        </is>
      </c>
      <c r="B31" s="22" t="inlineStr">
        <is>
          <t>Коротка К. (КТ), Дрєпіна А. (ІТ), Тимчак А. (ТА)</t>
        </is>
      </c>
      <c r="C31" s="22" t="inlineStr">
        <is>
          <t>Горбонос О. (СМ)</t>
        </is>
      </c>
      <c r="D31" s="22" t="inlineStr">
        <is>
          <t>1✓ 2✓ 3✓ 4✓ 5✓ 6✓ 7✓</t>
        </is>
      </c>
      <c r="E31" s="22" t="inlineStr">
        <is>
          <t>пройшло</t>
        </is>
      </c>
      <c r="F31" s="22" t="inlineStr">
        <is>
          <t>BL-30 за змістом повторює BL-20 (BL-20 повніше: ліміт 99); вилучення BL-30 без перевикористання номера відповідає п. 1 простежуваності.</t>
        </is>
      </c>
      <c r="G31" s="22" t="n"/>
      <c r="H31" s="22" t="n"/>
    </row>
    <row r="32">
      <c r="A32" s="22" t="inlineStr">
        <is>
          <t>Реєстр №31 · BL-40 · Простежуваність</t>
        </is>
      </c>
      <c r="B32" s="22" t="inlineStr">
        <is>
          <t>Тимчак А. (ТА)</t>
        </is>
      </c>
      <c r="C32" s="22" t="inlineStr">
        <is>
          <t>Горбонос О. (СМ)</t>
        </is>
      </c>
      <c r="D32" s="22" t="inlineStr">
        <is>
          <t>1✓ 2✓ 3✓ 4–6 н/з 7✓</t>
        </is>
      </c>
      <c r="E32" s="22" t="inlineStr">
        <is>
          <t>пройшло</t>
        </is>
      </c>
      <c r="F32" s="22" t="inlineStr">
        <is>
          <t>Рядок відхилено; рішення зафіксовано в «Спірні». Редакційне (ТА): Примітка застаріла — додати посилання на рішення.</t>
        </is>
      </c>
      <c r="G32" s="22" t="n"/>
      <c r="H32" s="22" t="n"/>
    </row>
    <row r="33">
      <c r="A33" s="22" t="inlineStr">
        <is>
          <t>Реєстр №32 · BL-50 · Однозначність</t>
        </is>
      </c>
      <c r="B33" s="22" t="inlineStr">
        <is>
          <t>Тимчак А. (ТА)</t>
        </is>
      </c>
      <c r="C33" s="22" t="inlineStr">
        <is>
          <t>Горбонос О. (СМ)</t>
        </is>
      </c>
      <c r="D33" s="22" t="inlineStr">
        <is>
          <t>1✓ 2✓ 3✓ 4–6 н/з 7✓</t>
        </is>
      </c>
      <c r="E33" s="22" t="inlineStr">
        <is>
          <t>пройшло</t>
        </is>
      </c>
      <c r="F33" s="22" t="inlineStr">
        <is>
          <t>Рядок відхилено; рішення (US-06) зафіксовано в «Спірні». Редакційне (ТА): Примітка порожня — додати посилання на рішення.</t>
        </is>
      </c>
      <c r="G33" s="22" t="n"/>
      <c r="H33" s="22" t="n"/>
    </row>
    <row r="34">
      <c r="A34" s="22" t="inlineStr">
        <is>
          <t>Реєстр №33 · BL-60 · Однозначність</t>
        </is>
      </c>
      <c r="B34" s="22" t="inlineStr">
        <is>
          <t>Тимчак А. (ТА)</t>
        </is>
      </c>
      <c r="C34" s="22" t="inlineStr">
        <is>
          <t>Горбонос О. (СМ)</t>
        </is>
      </c>
      <c r="D34" s="22" t="inlineStr">
        <is>
          <t>1✓ 2✓ 3✓ 4✓ 5✓ 6✓ 7✓</t>
        </is>
      </c>
      <c r="E34" s="22" t="inlineStr">
        <is>
          <t>пройшло</t>
        </is>
      </c>
      <c r="F34" s="22" t="inlineStr">
        <is>
          <t>База порогу збігається з рішенням SCRUM-55 і виправленням №12 (PR #23): subtotal − знижка за обсяг − знижка за промокодом, межа «не менша за».</t>
        </is>
      </c>
      <c r="G34" s="22" t="n"/>
      <c r="H34" s="22" t="n"/>
    </row>
    <row r="35">
      <c r="A35" s="22" t="inlineStr">
        <is>
          <t>Реєстр №34 · BL-70 · Тестопридатність</t>
        </is>
      </c>
      <c r="B35" s="22" t="inlineStr">
        <is>
          <t>Тимчак А. (ТА)</t>
        </is>
      </c>
      <c r="C35" s="22" t="inlineStr">
        <is>
          <t>Горбонос О. (СМ)</t>
        </is>
      </c>
      <c r="D35" s="22" t="inlineStr">
        <is>
          <t>1✓ 2✓ 3✓ 4✓ 5✓ 6✗ 7✓</t>
        </is>
      </c>
      <c r="E35" s="22" t="inlineStr">
        <is>
          <t>не пройшло</t>
        </is>
      </c>
      <c r="F35" s="22" t="inlineStr">
        <is>
          <t>На main виправлення вводить NOT_FOUND (у SRS немає реєстру кодів) і INVALID_VALUE без позначки замовника — нова поведінка (рішення SCRUM-55). Переписано в PR #23. Зауваження СМ до PR: у INVALID_AMOUNT замінити «допустиму межу за BL-70» на «subtotal мінус знижка за обсяг (BL-50)».</t>
        </is>
      </c>
      <c r="G35" s="22" t="n"/>
      <c r="H35" s="22" t="n"/>
    </row>
    <row r="36">
      <c r="A36" s="22" t="inlineStr">
        <is>
          <t>Реєстр №35 · BL-80 · Здійсненність</t>
        </is>
      </c>
      <c r="B36" s="22" t="inlineStr">
        <is>
          <t>Дрєпіна А. (ІТ), Тимчак А. (ТА)</t>
        </is>
      </c>
      <c r="C36" s="22" t="inlineStr">
        <is>
          <t>Горбонос О. (СМ)</t>
        </is>
      </c>
      <c r="D36" s="22" t="inlineStr">
        <is>
          <t>1✓ 2✓ 3✓ 4✓ 5✓ 6✓ 7✓</t>
        </is>
      </c>
      <c r="E36" s="22" t="inlineStr">
        <is>
          <t>пройшло</t>
        </is>
      </c>
      <c r="F36" s="22" t="inlineStr">
        <is>
          <t>Редакційне: виправлення звужує правило замовника (перевірка лише в межах ШопЛайн) — додати «потребує підтвердження замовником».</t>
        </is>
      </c>
      <c r="G36" s="22" t="n"/>
      <c r="H36" s="22" t="n"/>
    </row>
    <row r="37">
      <c r="A37" s="22" t="inlineStr">
        <is>
          <t>Реєстр №36 · BL-70, BL-80 (немає вимоги) · Повнота</t>
        </is>
      </c>
      <c r="B37" s="22" t="inlineStr">
        <is>
          <t>Тимчак А. (ТА)</t>
        </is>
      </c>
      <c r="C37" s="22" t="inlineStr">
        <is>
          <t>Горбонос О. (СМ)</t>
        </is>
      </c>
      <c r="D37" s="22" t="inlineStr">
        <is>
          <t>1✓ 2✓ 3✓ 4✓ 5✓ 6✗ 7✓</t>
        </is>
      </c>
      <c r="E37" s="22" t="inlineStr">
        <is>
          <t>не пройшло</t>
        </is>
      </c>
      <c r="F37" s="22" t="inlineStr">
        <is>
          <t>На main BL-90 додає вартість доставки (поза BL-60) і бізнес-правило обрізання без позначки замовника (рішення SCRUM-55). Переписано в PR #23 (обмеження в BL-70). Зауваження СМ до PR: у Примітці вказати, що варіант обрала ТА з двох, дозволених рішенням команди.</t>
        </is>
      </c>
      <c r="G37" s="22" t="n"/>
      <c r="H37" s="22" t="n"/>
    </row>
    <row r="38">
      <c r="A38" s="22" t="inlineStr">
        <is>
          <t>План · рівень 1. Модульне (Unit)</t>
        </is>
      </c>
      <c r="B38" s="22" t="inlineStr">
        <is>
          <t>Дрєпіна А. (ІТ)</t>
        </is>
      </c>
      <c r="C38" s="22" t="inlineStr">
        <is>
          <t>Горбонос О. (СМ)</t>
        </is>
      </c>
      <c r="D38" s="22" t="inlineStr">
        <is>
          <t>1✓ 2✓ 3✓ 4✓ 5✓</t>
        </is>
      </c>
      <c r="E38" s="22" t="inlineStr">
        <is>
          <t>пройшло</t>
        </is>
      </c>
      <c r="F38" s="22" t="inlineStr">
        <is>
          <t>Межі qty 0/1/99/100 відповідають BL-10/BL-40; пороги BL-50 (1999.99 … 10000.00) — зі SRS.</t>
        </is>
      </c>
      <c r="G38" s="22" t="n"/>
      <c r="H38" s="22" t="n"/>
    </row>
    <row r="39">
      <c r="A39" s="22" t="inlineStr">
        <is>
          <t>План · рівень 2. Інтеграційне</t>
        </is>
      </c>
      <c r="B39" s="22" t="inlineStr">
        <is>
          <t>Дрєпіна А. (ІТ)</t>
        </is>
      </c>
      <c r="C39" s="22" t="inlineStr">
        <is>
          <t>Горбонос О. (СМ)</t>
        </is>
      </c>
      <c r="D39" s="22" t="inlineStr">
        <is>
          <t>1✓ 2✓ 3✓ 4✓ 5✓</t>
        </is>
      </c>
      <c r="E39" s="22" t="inlineStr">
        <is>
          <t>пройшло</t>
        </is>
      </c>
      <c r="F39" s="22" t="inlineStr">
        <is>
          <t>Редакційне: джерело кодів 200/422 не випливає зі SRS — вказати (валідація Laravel на demo) або прибрати.</t>
        </is>
      </c>
      <c r="G39" s="22" t="n"/>
      <c r="H39" s="22" t="n"/>
    </row>
    <row r="40">
      <c r="A40" s="22" t="inlineStr">
        <is>
          <t>План · рівень 3. Димове (Smoke)</t>
        </is>
      </c>
      <c r="B40" s="22" t="inlineStr">
        <is>
          <t>Дрєпіна А. (ІТ)</t>
        </is>
      </c>
      <c r="C40" s="22" t="inlineStr">
        <is>
          <t>Горбонос О. (СМ)</t>
        </is>
      </c>
      <c r="D40" s="22" t="inlineStr">
        <is>
          <t>1✗ 2✓ 3✓ 4✓ 5✓</t>
        </is>
      </c>
      <c r="E40" s="22" t="inlineStr">
        <is>
          <t>не пройшло</t>
        </is>
      </c>
      <c r="F40" s="22" t="inlineStr">
        <is>
          <t>Ціль загальна («основні критичні функції») — не називає об'єкт і ризик ШопЛайн (напр., недоступний чекаут блокує всі подальші перевірки). Опис і дані конкретні. У v5 (SCRUM-71) виправлено; повторне підтвердження — після коміту ІТ і порівняння з main.</t>
        </is>
      </c>
      <c r="G40" s="22" t="n"/>
      <c r="H40" s="22" t="n"/>
    </row>
    <row r="41">
      <c r="A41" s="22" t="inlineStr">
        <is>
          <t>План · рівень 4. Системне</t>
        </is>
      </c>
      <c r="B41" s="22" t="inlineStr">
        <is>
          <t>Дрєпіна А. (ІТ)</t>
        </is>
      </c>
      <c r="C41" s="22" t="inlineStr">
        <is>
          <t>Горбонос О. (СМ)</t>
        </is>
      </c>
      <c r="D41" s="22" t="inlineStr">
        <is>
          <t>1✗ 2✓ 3✗ 4✓ 5✓</t>
        </is>
      </c>
      <c r="E41" s="22" t="inlineStr">
        <is>
          <t>не пройшло</t>
        </is>
      </c>
      <c r="F41" s="22" t="inlineStr">
        <is>
          <t>Ціль загальна; у «Інструменти / Дані» немає даних (обліковий запис, товари, промокод) — додати. У v5 (SCRUM-71) виправлено; повторне підтвердження — після коміту ІТ і порівняння з main.</t>
        </is>
      </c>
      <c r="G41" s="22" t="n"/>
      <c r="H41" s="22" t="n"/>
    </row>
    <row r="42">
      <c r="A42" s="22" t="inlineStr">
        <is>
          <t>План · рівень 5. Альфа-тестування</t>
        </is>
      </c>
      <c r="B42" s="22" t="inlineStr">
        <is>
          <t>Дрєпіна А. (ІТ)</t>
        </is>
      </c>
      <c r="C42" s="22" t="inlineStr">
        <is>
          <t>Горбонос О. (СМ)</t>
        </is>
      </c>
      <c r="D42" s="22" t="inlineStr">
        <is>
          <t>1✓ 2✓ 3✓ 4✓ 5✓</t>
        </is>
      </c>
      <c r="E42" s="22" t="inlineStr">
        <is>
          <t>пройшло</t>
        </is>
      </c>
      <c r="F42" s="22" t="inlineStr">
        <is>
          <t>На demo не виконується — позначено. Редакційне: пріоритет Medium не названо в 2.1 — додати.</t>
        </is>
      </c>
      <c r="G42" s="22" t="n"/>
      <c r="H42" s="22" t="n"/>
    </row>
    <row r="43">
      <c r="A43" s="22" t="inlineStr">
        <is>
          <t>План · рівень 6. Бета-тестування</t>
        </is>
      </c>
      <c r="B43" s="22" t="inlineStr">
        <is>
          <t>Дрєпіна А. (ІТ)</t>
        </is>
      </c>
      <c r="C43" s="22" t="inlineStr">
        <is>
          <t>Горбонос О. (СМ)</t>
        </is>
      </c>
      <c r="D43" s="22" t="inlineStr">
        <is>
          <t>1✗ 2✓ 3✓ 4✓ 5✓</t>
        </is>
      </c>
      <c r="E43" s="22" t="inlineStr">
        <is>
          <t>не пройшло</t>
        </is>
      </c>
      <c r="F43" s="22" t="inlineStr">
        <is>
          <t>Ціль загальна (годиться для будь-якого продукту) — назвати об'єкт і ризик ШопЛайн. Опис конкретний, обмеження demo позначено. У v5 (SCRUM-71) виправлено; повторне підтвердження — після коміту ІТ і порівняння з main.</t>
        </is>
      </c>
      <c r="G43" s="22" t="n"/>
      <c r="H43" s="22" t="n"/>
    </row>
    <row r="44">
      <c r="A44" s="22" t="inlineStr">
        <is>
          <t>План · рівень 7. Приймальне замовником (UAT)</t>
        </is>
      </c>
      <c r="B44" s="22" t="inlineStr">
        <is>
          <t>Дрєпіна А. (ІТ)</t>
        </is>
      </c>
      <c r="C44" s="22" t="inlineStr">
        <is>
          <t>Горбонос О. (СМ)</t>
        </is>
      </c>
      <c r="D44" s="22" t="inlineStr">
        <is>
          <t>1✓ 2✓ 3✓ 4✓ 5✓</t>
        </is>
      </c>
      <c r="E44" s="22" t="inlineStr">
        <is>
          <t>пройшло</t>
        </is>
      </c>
      <c r="F44" s="22" t="inlineStr">
        <is>
          <t>Ціль називає замовника; на demo не виконується — позначено.</t>
        </is>
      </c>
      <c r="G44" s="22" t="n"/>
      <c r="H44" s="22" t="n"/>
    </row>
    <row r="45">
      <c r="A45" s="22" t="inlineStr">
        <is>
          <t>План · тип 1 · Функціональне</t>
        </is>
      </c>
      <c r="B45" s="22" t="inlineStr">
        <is>
          <t>Дрєпіна А. (ІТ)</t>
        </is>
      </c>
      <c r="C45" s="22" t="inlineStr">
        <is>
          <t>Горбонос О. (СМ)</t>
        </is>
      </c>
      <c r="D45" s="22" t="inlineStr">
        <is>
          <t>1✓ 2✓ 3✓ 4✓ 5✓</t>
        </is>
      </c>
      <c r="E45" s="22" t="inlineStr">
        <is>
          <t>пройшло</t>
        </is>
      </c>
      <c r="F45" s="22" t="inlineStr">
        <is>
          <t>Combination Pliers є на demo (перевірено через API 12.10.2026); критерій успіху названо.</t>
        </is>
      </c>
      <c r="G45" s="22" t="n"/>
      <c r="H45" s="22" t="n"/>
    </row>
    <row r="46">
      <c r="A46" s="22" t="inlineStr">
        <is>
          <t>План · тип 2 · Графічного інтерфейсу (GUI)</t>
        </is>
      </c>
      <c r="B46" s="22" t="inlineStr">
        <is>
          <t>Дрєпіна А. (ІТ)</t>
        </is>
      </c>
      <c r="C46" s="22" t="inlineStr">
        <is>
          <t>Горбонос О. (СМ)</t>
        </is>
      </c>
      <c r="D46" s="22" t="inlineStr">
        <is>
          <t>1✓ 2✓ 3✓ 4✓ 5✓</t>
        </is>
      </c>
      <c r="E46" s="22" t="inlineStr">
        <is>
          <t>пройшло</t>
        </is>
      </c>
      <c r="F46" s="22" t="inlineStr">
        <is>
          <t>Значення «9 карток» і «1–99» узято з виправлень №6 і №17 (у SRS 1.0: 12 карток, 0–100); SRS 1.1 ще немає — перевірити після випуску.</t>
        </is>
      </c>
      <c r="G46" s="22" t="n"/>
      <c r="H46" s="22" t="n"/>
    </row>
    <row r="47">
      <c r="A47" s="22" t="inlineStr">
        <is>
          <t>План · тип 3 · Юзабіліті</t>
        </is>
      </c>
      <c r="B47" s="22" t="inlineStr">
        <is>
          <t>Дрєпіна А. (ІТ)</t>
        </is>
      </c>
      <c r="C47" s="22" t="inlineStr">
        <is>
          <t>Горбонос О. (СМ)</t>
        </is>
      </c>
      <c r="D47" s="22" t="inlineStr">
        <is>
          <t>1✓ 2✗ 3✓ 4✓ 5✓</t>
        </is>
      </c>
      <c r="E47" s="22" t="inlineStr">
        <is>
          <t>не пройшло</t>
        </is>
      </c>
      <c r="F47" s="22" t="inlineStr">
        <is>
          <t>Невиконуваний/суперечливий опис: пошук «Hammer» «через фільтр брендів» (Hammer — товар, не бренд); вибірка 10 учасників «на етапі UAT/альфа», а в Інструментах — «на Toolshop»; не вказано, де виконується. Вибірка 10 залежить від вибору варіанта U-10 у №25 (КТ: 5 учасників). У v5 (SCRUM-71) виправлено; повторне підтвердження — після коміту ІТ і порівняння з main.</t>
        </is>
      </c>
      <c r="G47" s="22" t="n"/>
      <c r="H47" s="22" t="n"/>
    </row>
    <row r="48">
      <c r="A48" s="22" t="inlineStr">
        <is>
          <t>План · тип 4 · Захищеності</t>
        </is>
      </c>
      <c r="B48" s="22" t="inlineStr">
        <is>
          <t>Дрєпіна А. (ІТ)</t>
        </is>
      </c>
      <c r="C48" s="22" t="inlineStr">
        <is>
          <t>Горбонос О. (СМ)</t>
        </is>
      </c>
      <c r="D48" s="22" t="inlineStr">
        <is>
          <t>1✓ 2✓ 3✓ 4✓ 5✓</t>
        </is>
      </c>
      <c r="E48" s="22" t="inlineStr">
        <is>
          <t>пройшло</t>
        </is>
      </c>
      <c r="F48" s="22" t="inlineStr">
        <is>
          <t>Редирект /account → /auth/login для гостя підтверджено на demo (12.10.2026); обмеження demo і позначки замовника є. Редакційне: S-20 вимагає також недоступності кроків 3–4 для гостя — додати крок.</t>
        </is>
      </c>
      <c r="G48" s="22" t="n"/>
      <c r="H48" s="22" t="n"/>
    </row>
    <row r="49">
      <c r="A49" s="22" t="inlineStr">
        <is>
          <t>План · тип 5 · Потоків даних</t>
        </is>
      </c>
      <c r="B49" s="22" t="inlineStr">
        <is>
          <t>Дрєпіна А. (ІТ)</t>
        </is>
      </c>
      <c r="C49" s="22" t="inlineStr">
        <is>
          <t>Горбонос О. (СМ)</t>
        </is>
      </c>
      <c r="D49" s="22" t="inlineStr">
        <is>
          <t>1✓ 2✓ 3✓ 4✓ 5✓</t>
        </is>
      </c>
      <c r="E49" s="22" t="inlineStr">
        <is>
          <t>пройшло</t>
        </is>
      </c>
      <c r="F49" s="22" t="inlineStr">
        <is>
          <t>Редакційне: у критерії «≥ 1500 грн» немає позначки — рішення SCRUM-55 вимагає її для бази, порогу й межі.</t>
        </is>
      </c>
      <c r="G49" s="22" t="n"/>
      <c r="H49" s="22" t="n"/>
    </row>
    <row r="50">
      <c r="A50" s="22" t="inlineStr">
        <is>
          <t>План · тип 6 · Інтерфейсів (програмних)</t>
        </is>
      </c>
      <c r="B50" s="22" t="inlineStr">
        <is>
          <t>Дрєпіна А. (ІТ)</t>
        </is>
      </c>
      <c r="C50" s="22" t="inlineStr">
        <is>
          <t>Горбонос О. (СМ)</t>
        </is>
      </c>
      <c r="D50" s="22" t="inlineStr">
        <is>
          <t>1✓ 2✓ 3✓ 4✓ 5✓</t>
        </is>
      </c>
      <c r="E50" s="22" t="inlineStr">
        <is>
          <t>пройшло</t>
        </is>
      </c>
      <c r="F50" s="22" t="inlineStr">
        <is>
          <t>Перевірено на API demo: GET /products (поля id, name, price, in_stock), GET /categories — відповідають опису; POST /users/login не надсилала (потрібні облікові дані). Обмеження щодо HTTP 500 позначено.</t>
        </is>
      </c>
      <c r="G50" s="22" t="n"/>
      <c r="H50" s="22" t="n"/>
    </row>
    <row r="51">
      <c r="A51" s="22" t="inlineStr">
        <is>
          <t>План · тип 7 · Інсталяційне</t>
        </is>
      </c>
      <c r="B51" s="22" t="inlineStr">
        <is>
          <t>Дрєпіна А. (ІТ)</t>
        </is>
      </c>
      <c r="C51" s="22" t="inlineStr">
        <is>
          <t>Горбонос О. (СМ)</t>
        </is>
      </c>
      <c r="D51" s="22" t="inlineStr">
        <is>
          <t>1✓ 2✓ 3✓ 4✓ 5✓</t>
        </is>
      </c>
      <c r="E51" s="22" t="inlineStr">
        <is>
          <t>пройшло</t>
        </is>
      </c>
      <c r="F51" s="22" t="inlineStr">
        <is>
          <t>Незастосовність пояснено природою продукту (вебзастосунок, дистрибутива немає).</t>
        </is>
      </c>
      <c r="G51" s="22" t="n"/>
      <c r="H51" s="22" t="n"/>
    </row>
    <row r="52">
      <c r="A52" s="22" t="inlineStr">
        <is>
          <t>План · тип 8 · Конфігураційне</t>
        </is>
      </c>
      <c r="B52" s="22" t="inlineStr">
        <is>
          <t>Дрєпіна А. (ІТ)</t>
        </is>
      </c>
      <c r="C52" s="22" t="inlineStr">
        <is>
          <t>Горбонос О. (СМ)</t>
        </is>
      </c>
      <c r="D52" s="22" t="inlineStr">
        <is>
          <t>1✓ 2✓ 3✓ 4✓ 5✓</t>
        </is>
      </c>
      <c r="E52" s="22" t="inlineStr">
        <is>
          <t>пройшло</t>
        </is>
      </c>
      <c r="F52" s="22" t="inlineStr">
        <is>
          <t>Редакційне: «U-30» — запропонований ID (реєстр №26), у SRS 1.0 його немає; залежить від рішення №1 (2.2 ↔ розд. 6) — позначити.</t>
        </is>
      </c>
      <c r="G52" s="22" t="n"/>
      <c r="H52" s="22" t="n"/>
    </row>
    <row r="53">
      <c r="A53" s="22" t="inlineStr">
        <is>
          <t>План · тип 9 · Об'ємне</t>
        </is>
      </c>
      <c r="B53" s="22" t="inlineStr">
        <is>
          <t>Дрєпіна А. (ІТ)</t>
        </is>
      </c>
      <c r="C53" s="22" t="inlineStr">
        <is>
          <t>Горбонос О. (СМ)</t>
        </is>
      </c>
      <c r="D53" s="22" t="inlineStr">
        <is>
          <t>1✓ 2✓ 3✓ 4✓ 5✓</t>
        </is>
      </c>
      <c r="E53" s="22" t="inlineStr">
        <is>
          <t>пройшло</t>
        </is>
      </c>
      <c r="F53" s="22" t="inlineStr">
        <is>
          <t>Обмеження demo (52 товари, 6 сторінок, по 9) позначено й відповідає перевірці на demo.</t>
        </is>
      </c>
      <c r="G53" s="22" t="n"/>
      <c r="H53" s="22" t="n"/>
    </row>
    <row r="54">
      <c r="A54" s="22" t="inlineStr">
        <is>
          <t>План · тип 10 · Надійності</t>
        </is>
      </c>
      <c r="B54" s="22" t="inlineStr">
        <is>
          <t>Дрєпіна А. (ІТ)</t>
        </is>
      </c>
      <c r="C54" s="22" t="inlineStr">
        <is>
          <t>Горбонос О. (СМ)</t>
        </is>
      </c>
      <c r="D54" s="22" t="inlineStr">
        <is>
          <t>1✓ 2✓ 3✓ 4✓ 5✓</t>
        </is>
      </c>
      <c r="E54" s="22" t="inlineStr">
        <is>
          <t>пройшло</t>
        </is>
      </c>
      <c r="F54" s="22" t="inlineStr">
        <is>
          <t>Сценарій 30 хв, 6 сторінок, ≥ 5 операцій, критерій успіху названо.</t>
        </is>
      </c>
      <c r="G54" s="22" t="n"/>
      <c r="H54" s="22" t="n"/>
    </row>
    <row r="55">
      <c r="A55" s="22" t="inlineStr">
        <is>
          <t>План · тип 11 · Доступності (Availability)</t>
        </is>
      </c>
      <c r="B55" s="22" t="inlineStr">
        <is>
          <t>Дрєпіна А. (ІТ)</t>
        </is>
      </c>
      <c r="C55" s="22" t="inlineStr">
        <is>
          <t>Горбонос О. (СМ)</t>
        </is>
      </c>
      <c r="D55" s="22" t="inlineStr">
        <is>
          <t>1✓ 2✓ 3✓ 4✓ 5✓</t>
        </is>
      </c>
      <c r="E55" s="22" t="inlineStr">
        <is>
          <t>пройшло</t>
        </is>
      </c>
      <c r="F55" s="22" t="inlineStr">
        <is>
          <t>Незастосовність пояснено (один склад у Житомирі, вимог 99.99 % немає).</t>
        </is>
      </c>
      <c r="G55" s="22" t="n"/>
      <c r="H55" s="22" t="n"/>
    </row>
    <row r="56">
      <c r="A56" s="22" t="inlineStr">
        <is>
          <t>План · тип 12 · Відновлення (Recovery)</t>
        </is>
      </c>
      <c r="B56" s="22" t="inlineStr">
        <is>
          <t>Дрєпіна А. (ІТ)</t>
        </is>
      </c>
      <c r="C56" s="22" t="inlineStr">
        <is>
          <t>Горбонос О. (СМ)</t>
        </is>
      </c>
      <c r="D56" s="22" t="inlineStr">
        <is>
          <t>1✗ 2✓ 3✓ 4✓ 5✓</t>
        </is>
      </c>
      <c r="E56" s="22" t="inlineStr">
        <is>
          <t>не пройшло</t>
        </is>
      </c>
      <c r="F56" s="22" t="inlineStr">
        <is>
          <t>Ціль обіцяє збереження «введених даних чекауту», а Опис і критерій перевіряють лише кошик — або додати перевірку чекауту, або прибрати з Цілі. У v5 (SCRUM-71) виправлено; повторне підтвердження — після коміту ІТ і порівняння з main.</t>
        </is>
      </c>
      <c r="G56" s="22" t="n"/>
      <c r="H56" s="22" t="n"/>
    </row>
    <row r="57">
      <c r="A57" s="22" t="inlineStr">
        <is>
          <t>План · тип 13 · Інтернаціоналізації (i18n)</t>
        </is>
      </c>
      <c r="B57" s="22" t="inlineStr">
        <is>
          <t>Дрєпіна А. (ІТ)</t>
        </is>
      </c>
      <c r="C57" s="22" t="inlineStr">
        <is>
          <t>Горбонос О. (СМ)</t>
        </is>
      </c>
      <c r="D57" s="22" t="inlineStr">
        <is>
          <t>1✗ 2✗ 3✓ 4✓ 5✓</t>
        </is>
      </c>
      <c r="E57" s="22" t="inlineStr">
        <is>
          <t>не пройшло</t>
        </is>
      </c>
      <c r="F57" s="22" t="inlineStr">
        <is>
          <t>«Суми з комами та крапками» — на demo немає поля введення сум (неможливо виконати); «відсутність жорстко закодованого тексту» в Описі не перевіряється. Твердження «demo лише англійською» неточне: на demo є перемикач мов (EN, DE, EL, ES, FR, NL, TR) — його можна використати для перевірки. У v5 (SCRUM-71) виправлено; повторне підтвердження — після коміту ІТ і порівняння з main.</t>
        </is>
      </c>
      <c r="G57" s="22" t="n"/>
      <c r="H57" s="22" t="n"/>
    </row>
    <row r="58">
      <c r="A58" s="22" t="inlineStr">
        <is>
          <t>План · тип 14 · Локалізації (l10n)</t>
        </is>
      </c>
      <c r="B58" s="22" t="inlineStr">
        <is>
          <t>Дрєпіна А. (ІТ)</t>
        </is>
      </c>
      <c r="C58" s="22" t="inlineStr">
        <is>
          <t>Горбонос О. (СМ)</t>
        </is>
      </c>
      <c r="D58" s="22" t="inlineStr">
        <is>
          <t>1✗ 2✓ 3✓ 4✓ 5✓</t>
        </is>
      </c>
      <c r="E58" s="22" t="inlineStr">
        <is>
          <t>не пройшло</t>
        </is>
      </c>
      <c r="F58" s="22" t="inlineStr">
        <is>
          <t>Критерій «математика цін відповідає українським стандартам» неперевірюваний (як і слова-маркери в аудиті); формат індексу «5 цифр» не заданий у SRS — позначити як припущення; HALF_UP належить типу 5, не l10n. У v5 (SCRUM-71) виправлено; повторне підтвердження — після коміту ІТ і порівняння з main. Тип стає «Ні» (15 застосовних / 9 незастосовних) — потрібне підтвердження КТ.</t>
        </is>
      </c>
      <c r="G58" s="22" t="n"/>
      <c r="H58" s="22" t="n"/>
    </row>
    <row r="59">
      <c r="A59" s="22" t="inlineStr">
        <is>
          <t>План · тип 15 · Документації</t>
        </is>
      </c>
      <c r="B59" s="22" t="inlineStr">
        <is>
          <t>Дрєпіна А. (ІТ)</t>
        </is>
      </c>
      <c r="C59" s="22" t="inlineStr">
        <is>
          <t>Горбонос О. (СМ)</t>
        </is>
      </c>
      <c r="D59" s="22" t="inlineStr">
        <is>
          <t>1✓ 2✓ 3✓ 4✓ 5✓</t>
        </is>
      </c>
      <c r="E59" s="22" t="inlineStr">
        <is>
          <t>пройшло</t>
        </is>
      </c>
      <c r="F59" s="22" t="inlineStr">
        <is>
          <t>Редакційне: у SRS D-10 — посібник користувача (Low), D-20 — README модуля з `mvn test` (Medium); у даних «розділ 5, D-10» плутає ID — виправити відповідність.</t>
        </is>
      </c>
      <c r="G59" s="22" t="n"/>
      <c r="H59" s="22" t="n"/>
    </row>
    <row r="60">
      <c r="A60" s="22" t="inlineStr">
        <is>
          <t>План · тип 16 · Навантажувальне (Load)</t>
        </is>
      </c>
      <c r="B60" s="22" t="inlineStr">
        <is>
          <t>Дрєпіна А. (ІТ)</t>
        </is>
      </c>
      <c r="C60" s="22" t="inlineStr">
        <is>
          <t>Горбонос О. (СМ)</t>
        </is>
      </c>
      <c r="D60" s="22" t="inlineStr">
        <is>
          <t>1✓ 2✓ 3✓ 4✓ 5✓</t>
        </is>
      </c>
      <c r="E60" s="22" t="inlineStr">
        <is>
          <t>пройшло</t>
        </is>
      </c>
      <c r="F60" s="22" t="inlineStr">
        <is>
          <t>Параметри відповідають P-20 (100 покупців, p95 ≤ 1 с, 10 хв); заборону на demo позначено, авторські значення позначено «потребує підтвердження замовником».</t>
        </is>
      </c>
      <c r="G60" s="22" t="n"/>
      <c r="H60" s="22" t="n"/>
    </row>
    <row r="61">
      <c r="A61" s="22" t="inlineStr">
        <is>
          <t>План · тип 17 · Стресове (Stress)</t>
        </is>
      </c>
      <c r="B61" s="22" t="inlineStr">
        <is>
          <t>Дрєпіна А. (ІТ)</t>
        </is>
      </c>
      <c r="C61" s="22" t="inlineStr">
        <is>
          <t>Горбонос О. (СМ)</t>
        </is>
      </c>
      <c r="D61" s="22" t="inlineStr">
        <is>
          <t>1✓ 2✓ 3✓ 4✓ 5✓</t>
        </is>
      </c>
      <c r="E61" s="22" t="inlineStr">
        <is>
          <t>пройшло</t>
        </is>
      </c>
      <c r="F61" s="22" t="inlineStr">
        <is>
          <t>Причину незастосовності названо (вимог до дефіциту ресурсів у SRS немає).</t>
        </is>
      </c>
      <c r="G61" s="22" t="n"/>
      <c r="H61" s="22" t="n"/>
    </row>
    <row r="62">
      <c r="A62" s="22" t="inlineStr">
        <is>
          <t>План · тип 18 · Стрибкове (Spike)</t>
        </is>
      </c>
      <c r="B62" s="22" t="inlineStr">
        <is>
          <t>Дрєпіна А. (ІТ)</t>
        </is>
      </c>
      <c r="C62" s="22" t="inlineStr">
        <is>
          <t>Горбонос О. (СМ)</t>
        </is>
      </c>
      <c r="D62" s="22" t="inlineStr">
        <is>
          <t>1✓ 2✓ 3✓ 4✓ 5✓</t>
        </is>
      </c>
      <c r="E62" s="22" t="inlineStr">
        <is>
          <t>пройшло</t>
        </is>
      </c>
      <c r="F62" s="22" t="inlineStr">
        <is>
          <t>Причина посилається на P-20 (рівномірне навантаження) — відповідає SRS.</t>
        </is>
      </c>
      <c r="G62" s="22" t="n"/>
      <c r="H62" s="22" t="n"/>
    </row>
    <row r="63">
      <c r="A63" s="22" t="inlineStr">
        <is>
          <t>План · тип 19 · Порівняльне (Benchmarking)</t>
        </is>
      </c>
      <c r="B63" s="22" t="inlineStr">
        <is>
          <t>Дрєпіна А. (ІТ)</t>
        </is>
      </c>
      <c r="C63" s="22" t="inlineStr">
        <is>
          <t>Горбонос О. (СМ)</t>
        </is>
      </c>
      <c r="D63" s="22" t="inlineStr">
        <is>
          <t>1✓ 2✓ 3✓ 4✓ 5✓</t>
        </is>
      </c>
      <c r="E63" s="22" t="inlineStr">
        <is>
          <t>пройшло</t>
        </is>
      </c>
      <c r="F63" s="22" t="inlineStr">
        <is>
          <t>Причину названо (немає попередньої версії й еталонів).</t>
        </is>
      </c>
      <c r="G63" s="22" t="n"/>
      <c r="H63" s="22" t="n"/>
    </row>
    <row r="64">
      <c r="A64" s="22" t="inlineStr">
        <is>
          <t>План · тип 20 · Профілювання (Profiling)</t>
        </is>
      </c>
      <c r="B64" s="22" t="inlineStr">
        <is>
          <t>Дрєпіна А. (ІТ)</t>
        </is>
      </c>
      <c r="C64" s="22" t="inlineStr">
        <is>
          <t>Горбонос О. (СМ)</t>
        </is>
      </c>
      <c r="D64" s="22" t="inlineStr">
        <is>
          <t>1✓ 2✓ 3✓ 4✗ 5✓</t>
        </is>
      </c>
      <c r="E64" s="22" t="inlineStr">
        <is>
          <t>не пройшло</t>
        </is>
      </c>
      <c r="F64" s="22" t="inlineStr">
        <is>
          <t>Причина спирається на «типовий монолітний вебзастосунок» — у SRS 1.0 архітектура інша (SPA + REST API + БД), твердження не підтверджено. Обґрунтувати природою продукту (напр., пороги вже в P-20, еталонів немає). У v5 (SCRUM-71) виправлено; повторне підтвердження — після коміту ІТ і порівняння з main.</t>
        </is>
      </c>
      <c r="G64" s="22" t="n"/>
      <c r="H64" s="22" t="n"/>
    </row>
    <row r="65">
      <c r="A65" s="22" t="inlineStr">
        <is>
          <t>План · тип 21 · Стабільності (Soak / Endurance)</t>
        </is>
      </c>
      <c r="B65" s="22" t="inlineStr">
        <is>
          <t>Дрєпіна А. (ІТ)</t>
        </is>
      </c>
      <c r="C65" s="22" t="inlineStr">
        <is>
          <t>Горбонос О. (СМ)</t>
        </is>
      </c>
      <c r="D65" s="22" t="inlineStr">
        <is>
          <t>1✓ 2✓ 3✓ 4✓ 5✓</t>
        </is>
      </c>
      <c r="E65" s="22" t="inlineStr">
        <is>
          <t>пройшло</t>
        </is>
      </c>
      <c r="F65" s="22" t="inlineStr">
        <is>
          <t>Формулювання за рішенням КТ (SCRUM-58); покриття 30-хвилинним сценарієм типу 10 вказано.</t>
        </is>
      </c>
      <c r="G65" s="22" t="n"/>
      <c r="H65" s="22" t="n"/>
    </row>
    <row r="66">
      <c r="A66" s="22" t="inlineStr">
        <is>
          <t>План · тип 22 · Витоків пам'яті (Memory Leaks)</t>
        </is>
      </c>
      <c r="B66" s="22" t="inlineStr">
        <is>
          <t>Дрєпіна А. (ІТ)</t>
        </is>
      </c>
      <c r="C66" s="22" t="inlineStr">
        <is>
          <t>Горбонос О. (СМ)</t>
        </is>
      </c>
      <c r="D66" s="22" t="inlineStr">
        <is>
          <t>1✓ 2✓ 3✓ 4✓ 5✓</t>
        </is>
      </c>
      <c r="E66" s="22" t="inlineStr">
        <is>
          <t>пройшло</t>
        </is>
      </c>
      <c r="F66" s="22" t="inlineStr">
        <is>
          <t>За рішенням КТ (SCRUM-58): критерій 20 % позначено «потребує підтвердження замовником», пріоритет Low пояснено, межу (лише клієнтська частина) вказано.</t>
        </is>
      </c>
      <c r="G66" s="22" t="n"/>
      <c r="H66" s="22" t="n"/>
    </row>
    <row r="67">
      <c r="A67" s="22" t="inlineStr">
        <is>
          <t>План · тип 23 · Вузьких місць (Bottleneck)</t>
        </is>
      </c>
      <c r="B67" s="22" t="inlineStr">
        <is>
          <t>Дрєпіна А. (ІТ)</t>
        </is>
      </c>
      <c r="C67" s="22" t="inlineStr">
        <is>
          <t>Горбонос О. (СМ)</t>
        </is>
      </c>
      <c r="D67" s="22" t="inlineStr">
        <is>
          <t>1✓ 2✓ 3✓ 4✓ 5✓</t>
        </is>
      </c>
      <c r="E67" s="22" t="inlineStr">
        <is>
          <t>пройшло</t>
        </is>
      </c>
      <c r="F67" s="22" t="inlineStr">
        <is>
          <t>Редакційне: покриття типом 16, який на demo не запускається (ризик 1) — діє лише з локальним стендом.</t>
        </is>
      </c>
      <c r="G67" s="22" t="n"/>
      <c r="H67" s="22" t="n"/>
    </row>
    <row r="68">
      <c r="A68" s="22" t="inlineStr">
        <is>
          <t>План · тип 24 · Умов гонок (Race Conditions)</t>
        </is>
      </c>
      <c r="B68" s="22" t="inlineStr">
        <is>
          <t>Дрєпіна А. (ІТ)</t>
        </is>
      </c>
      <c r="C68" s="22" t="inlineStr">
        <is>
          <t>Горбонос О. (СМ)</t>
        </is>
      </c>
      <c r="D68" s="22" t="inlineStr">
        <is>
          <t>1✓ 2✓ 3✓ 4✓ 5✓</t>
        </is>
      </c>
      <c r="E68" s="22" t="inlineStr">
        <is>
          <t>пройшло</t>
        </is>
      </c>
      <c r="F68" s="22" t="inlineStr">
        <is>
          <t>Конкретний тест JUnit 5 (10 конкурентних викликів), пріоритет Medium пояснено, на demo не потрібен.</t>
        </is>
      </c>
      <c r="G68" s="22" t="n"/>
      <c r="H68" s="22" t="n"/>
    </row>
    <row r="69">
      <c r="A69" s="22" t="inlineStr">
        <is>
          <t>План · SCRUM-71 (розд. 5–6, прив'язка до ID SRS 1.1): перевірено версії v1–v4, передано v5</t>
        </is>
      </c>
      <c r="B69" s="22" t="inlineStr">
        <is>
          <t>Дрєпіна А. (ІТ)</t>
        </is>
      </c>
      <c r="C69" s="22" t="inlineStr">
        <is>
          <t>Горбонос О. (СМ)</t>
        </is>
      </c>
      <c r="D69" s="22" t="inlineStr">
        <is>
          <t>розд. 5–6; різниця з main; пп. 1–5 плану</t>
        </is>
      </c>
      <c r="E69" s="22" t="inlineStr">
        <is>
          <t>очікує коміт ІТ</t>
        </is>
      </c>
      <c r="F69" s="22" t="inlineStr">
        <is>
          <t>v1 (11.10): не пройшло — основа старіша за main (зникли ризики в Цілях і правки SCRUM-68–70), D-10/D-20 переплутані, у розд. 5–6 бракувало інструментів, припущень, наслідку/пом'якшення/власника.
v2: розд. 5–6 виправлено; типи 2, 3, 6, 14 з Описами слабшими за main.
v3: виправлено типи 2, 3, 4, 6, 15, 16, 22; тип 14 посилався на валідацію індексу, якої немає в модулі.
v4: пройшло з трьома правками (шкала 2.1 — прибрати l10n; причина «Ні» типу 14 — від продукту, не від demo; тип 13 — прибрати GUI-10). Тип 14 → «Ні» потребує підтвердження КТ (SCRUM-58). Відкрите: власник ризику 4 («СМ / ІТ») — рішення СМ.
v5 (12.10.2026): правки внесено в файл за дорученням СМ (шкала 2.1, причина «Ні» типу 14, тип 13, заголовок типів), файл передано ІТ для коміту. Повторне підтвердження — після коміту й порівняння з main; станом на 12.10.2026 SCRUM-71 у репозиторії немає.</t>
        </is>
      </c>
      <c r="G69" s="22" t="n"/>
      <c r="H69" s="22" t="n"/>
    </row>
    <row r="70">
      <c r="A70" s="22" t="inlineStr">
        <is>
          <t>SRS 1.1 · кожна правка має запис у журналі змін із № дефекту</t>
        </is>
      </c>
      <c r="B70" s="22" t="inlineStr">
        <is>
          <t>Тимчак А. (ТА)</t>
        </is>
      </c>
      <c r="C70" s="22" t="inlineStr">
        <is>
          <t>Горбонос О. (СМ)</t>
        </is>
      </c>
      <c r="D70" s="22" t="inlineStr">
        <is>
          <t>—</t>
        </is>
      </c>
      <c r="E70" s="22" t="inlineStr">
        <is>
          <t>очікує SRS 1.1</t>
        </is>
      </c>
      <c r="F70" s="22" t="inlineStr">
        <is>
          <t>SRS 1.1 ще не створено (у docs/sprint2 її немає станом на 12.10.2026). Рядок заповнюю після появи файла; без файла «пройшло» не ставлю.</t>
        </is>
      </c>
      <c r="G70" s="22" t="n"/>
      <c r="H70" s="22" t="n"/>
    </row>
    <row r="71">
      <c r="A71" s="22" t="inlineStr">
        <is>
          <t>SRS 1.1 · ID не перенумеровані</t>
        </is>
      </c>
      <c r="B71" s="22" t="inlineStr">
        <is>
          <t>Тимчак А. (ТА)</t>
        </is>
      </c>
      <c r="C71" s="22" t="inlineStr">
        <is>
          <t>Горбонос О. (СМ)</t>
        </is>
      </c>
      <c r="D71" s="22" t="inlineStr">
        <is>
          <t>—</t>
        </is>
      </c>
      <c r="E71" s="22" t="inlineStr">
        <is>
          <t>очікує SRS 1.1</t>
        </is>
      </c>
      <c r="F71" s="22" t="inlineStr">
        <is>
          <t>SRS 1.1 ще не створено (у docs/sprint2 її немає станом на 12.10.2026). Рядок заповнюю після появи файла; без файла «пройшло» не ставлю.</t>
        </is>
      </c>
      <c r="G71" s="22" t="n"/>
      <c r="H71" s="22" t="n"/>
    </row>
    <row r="72">
      <c r="A72" s="22" t="inlineStr">
        <is>
          <t>SRS 1.1 · незмінені вимоги дослівні</t>
        </is>
      </c>
      <c r="B72" s="22" t="inlineStr">
        <is>
          <t>Тимчак А. (ТА)</t>
        </is>
      </c>
      <c r="C72" s="22" t="inlineStr">
        <is>
          <t>Горбонос О. (СМ)</t>
        </is>
      </c>
      <c r="D72" s="22" t="inlineStr">
        <is>
          <t>—</t>
        </is>
      </c>
      <c r="E72" s="22" t="inlineStr">
        <is>
          <t>очікує SRS 1.1</t>
        </is>
      </c>
      <c r="F72" s="22" t="inlineStr">
        <is>
          <t>SRS 1.1 ще не створено (у docs/sprint2 її немає станом на 12.10.2026). Рядок заповнюю після появи файла; без файла «пройшло» не ставлю.</t>
        </is>
      </c>
      <c r="G72" s="22" t="n"/>
      <c r="H72" s="22" t="n"/>
    </row>
    <row r="74">
      <c r="A74" s="11" t="inlineStr">
        <is>
          <t>Пояснення</t>
        </is>
      </c>
    </row>
    <row r="75" ht="15" customHeight="1">
      <c r="A75" s="10" t="inlineStr">
        <is>
          <t>Умовні позначки: ✓ перевірено, ✗ не виконано, н/з — не застосовується (рядок відхилено).</t>
        </is>
      </c>
    </row>
    <row r="76" ht="30" customHeight="1">
      <c r="A76" s="10" t="inlineStr">
        <is>
          <t>Реєстр, пп.: 1 ID/локатор є в SRS 1.0; 2 цитата збігається зі SRS 1.0; 3 пункт чек-листа названо й доречний; 4 критерій головний; 5 виправлення готове; 6 виправлення не створює нового дефекту; 7 автор(и) зазначено.</t>
        </is>
      </c>
    </row>
    <row r="77" ht="30" customHeight="1">
      <c r="A77" s="10" t="inlineStr">
        <is>
          <t>План, пп.: 1 Ціль і Опис специфічні для ШопЛайн; 2 Опис виконуваний на demo або обмеження позначено; 3 названо інструменти й дані; 4 пріоритет і незастосовність пояснено; 5 рівні й типи в різних рядках.</t>
        </is>
      </c>
    </row>
    <row r="78" ht="15" customHeight="1">
      <c r="A78" s="10" t="inlineStr">
        <is>
          <t>Чек-листи — офіційні (методичка спринта 2, розд. 4.2–4.7). Рядки, де СМ — автор, рецензує КТ; якщо КТ також співавтор — ІТ; якщо автори всі четверо — незалежного рецензента немає (§4.9).</t>
        </is>
      </c>
    </row>
    <row r="79" ht="15" customHeight="1">
      <c r="A79" s="10" t="inlineStr">
        <is>
          <t>Версії: Реєстр і План — main (92899b6, 12.10.2026). Рецензент СМ: Горбонос О., 12.10.2026.</t>
        </is>
      </c>
    </row>
    <row r="80" ht="15" customHeight="1">
      <c r="A80" s="10" t="inlineStr">
        <is>
          <t>Виконуваність Описів на demo перевірено вибірково (API, редирект /account, форма реєстрації, перемикач мов); повний прогін сценаріїв не виконувався.</t>
        </is>
      </c>
    </row>
    <row r="81" ht="30" customHeight="1">
      <c r="A81" s="10" t="inlineStr">
        <is>
          <t>«Виправлено» і «Повторне підтвердження» заповнюються лише після реальних правок авторів; для рядків, які пройшли з першого разу, повторне підтвердження не потрібне. Редакційні зауваження не змінюють результат, але мають бути враховані до SRS 1.1.</t>
        </is>
      </c>
    </row>
  </sheetData>
  <mergeCells count="7">
    <mergeCell ref="A76:F76"/>
    <mergeCell ref="A80:F80"/>
    <mergeCell ref="A75:F75"/>
    <mergeCell ref="A79:F79"/>
    <mergeCell ref="A78:F78"/>
    <mergeCell ref="A77:F77"/>
    <mergeCell ref="A81:F8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2026-10-01T11:58:50Z</dcterms:created>
  <dcterms:modified xmlns:dcterms="http://purl.org/dc/terms/" xmlns:xsi="http://www.w3.org/2001/XMLSchema-instance" xsi:type="dcterms:W3CDTF">2026-10-12T18:56:39Z</dcterms:modified>
</cp:coreProperties>
</file>