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озподіл розділів" sheetId="1" state="visible" r:id="rId1"/>
    <sheet xmlns:r="http://schemas.openxmlformats.org/officeDocument/2006/relationships" name="audit_horbonos" sheetId="2" state="visible" r:id="rId2"/>
    <sheet xmlns:r="http://schemas.openxmlformats.org/officeDocument/2006/relationships" name="audit_korotka" sheetId="3" state="visible" r:id="rId3"/>
    <sheet xmlns:r="http://schemas.openxmlformats.org/officeDocument/2006/relationships" name="audit_drepina" sheetId="4" state="visible" r:id="rId4"/>
    <sheet xmlns:r="http://schemas.openxmlformats.org/officeDocument/2006/relationships" name="audit_tymchak" sheetId="5" state="visible" r:id="rId5"/>
    <sheet xmlns:r="http://schemas.openxmlformats.org/officeDocument/2006/relationships" name="Реєстр" sheetId="6" state="visible" r:id="rId6"/>
    <sheet xmlns:r="http://schemas.openxmlformats.org/officeDocument/2006/relationships" name="Спірні" sheetId="7" state="visible" r:id="rId7"/>
  </sheets>
  <definedNames>
    <definedName name="_xlnm._FilterDatabase" localSheetId="5" hidden="1">'Реєстр'!$A$1:$J$37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1" fillId="3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n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n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n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n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n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n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n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n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n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n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62" customWidth="1" min="6" max="6"/>
    <col width="20" customWidth="1" min="7" max="7"/>
    <col width="11" customWidth="1" min="8" max="8"/>
    <col width="22" customWidth="1" min="9" max="9"/>
    <col width="45" customWidth="1" min="10" max="10"/>
    <col width="3" customWidth="1" min="11" max="11"/>
    <col width="22" customWidth="1" min="12" max="12"/>
    <col width="10" customWidth="1" min="13" max="13"/>
  </cols>
  <sheetData>
    <row r="1">
      <c r="A1" s="21" t="inlineStr">
        <is>
          <t>№</t>
        </is>
      </c>
      <c r="B1" s="21" t="inlineStr">
        <is>
          <t>ID/локатор</t>
        </is>
      </c>
      <c r="C1" s="21" t="inlineStr">
        <is>
          <t>Критерій</t>
        </is>
      </c>
      <c r="D1" s="21" t="inlineStr">
        <is>
          <t>Пункт чек-листа</t>
        </is>
      </c>
      <c r="E1" s="21" t="inlineStr">
        <is>
          <t>Опис дефекту (цитата)</t>
        </is>
      </c>
      <c r="F1" s="21" t="inlineStr">
        <is>
          <t>Пропозиція виправлення</t>
        </is>
      </c>
      <c r="G1" s="21" t="inlineStr">
        <is>
          <t>Хто знайшов</t>
        </is>
      </c>
      <c r="H1" s="21" t="inlineStr">
        <is>
          <t>Статус</t>
        </is>
      </c>
      <c r="I1" s="21" t="inlineStr">
        <is>
          <t>Джерела</t>
        </is>
      </c>
      <c r="J1" s="21" t="inlineStr">
        <is>
          <t>Примітка</t>
        </is>
      </c>
      <c r="L1" s="11" t="inlineStr">
        <is>
          <t>Критерій</t>
        </is>
      </c>
      <c r="M1" s="11" t="inlineStr">
        <is>
          <t>Рядків</t>
        </is>
      </c>
    </row>
    <row r="2">
      <c r="A2" s="22" t="n">
        <v>1</v>
      </c>
      <c r="B2" s="22" t="inlineStr">
        <is>
          <t>2.2 ↔ розд. 6 (вимога про 375 px, без ID)</t>
        </is>
      </c>
      <c r="C2" s="22" t="inlineStr">
        <is>
          <t>Несуперечливість</t>
        </is>
      </c>
      <c r="D2" s="22" t="inlineStr">
        <is>
          <t>п. 2 — вимоги не суперечать одна одній</t>
        </is>
      </c>
      <c r="E2" s="2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22" t="inlineStr">
        <is>
          <t>Варіант Горбонос О. (СМ): 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
Варіант Коротка К. (КТ): 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22" t="inlineStr">
        <is>
          <t>Горбонос О. (СМ), Коротка К. (КТ)</t>
        </is>
      </c>
      <c r="H2" s="22" t="inlineStr">
        <is>
          <t>прийнято</t>
        </is>
      </c>
      <c r="I2" s="22" t="inlineStr">
        <is>
          <t>audit_horbonos №8; audit_korotka №1</t>
        </is>
      </c>
      <c r="J2" s="22" t="inlineStr">
        <is>
          <t>Відсутність ID у вимозі розд. 6 — окремий рядок (див. «розд. 6, між U-20 і D-10»). Варіанти виправлення різняться (мобільні браузери) — потребує підтвердження замовником.</t>
        </is>
      </c>
      <c r="L2" s="23" t="inlineStr">
        <is>
          <t>Однозначність</t>
        </is>
      </c>
      <c r="M2" s="23">
        <f>COUNTIF($C$2:$C$37,L2)</f>
        <v/>
      </c>
    </row>
    <row r="3">
      <c r="A3" s="22" t="n">
        <v>2</v>
      </c>
      <c r="B3" s="22" t="inlineStr">
        <is>
          <t>F-10</t>
        </is>
      </c>
      <c r="C3" s="22" t="inlineStr">
        <is>
          <t>Повнота</t>
        </is>
      </c>
      <c r="D3" s="22" t="inlineStr">
        <is>
          <t>п. 1 — вимога містить повну інформацію</t>
        </is>
      </c>
      <c r="E3" s="2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3" s="2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3" s="22" t="inlineStr">
        <is>
          <t>Тимчак А. (ТА)</t>
        </is>
      </c>
      <c r="H3" s="22" t="inlineStr">
        <is>
          <t>прийнято</t>
        </is>
      </c>
      <c r="I3" s="22" t="inlineStr">
        <is>
          <t>audit_tymchak №1</t>
        </is>
      </c>
      <c r="J3" s="22" t="inlineStr">
        <is>
          <t>Інший дефект F-10 (зайнята e-mail) — окремий рядок. Потребує підтвердження замовником.</t>
        </is>
      </c>
      <c r="L3" s="23" t="inlineStr">
        <is>
          <t>Повнота</t>
        </is>
      </c>
      <c r="M3" s="23">
        <f>COUNTIF($C$2:$C$37,L3)</f>
        <v/>
      </c>
    </row>
    <row r="4">
      <c r="A4" s="22" t="n">
        <v>3</v>
      </c>
      <c r="B4" s="22" t="inlineStr">
        <is>
          <t>F-10</t>
        </is>
      </c>
      <c r="C4" s="22" t="inlineStr">
        <is>
          <t>Повнота</t>
        </is>
      </c>
      <c r="D4" s="22" t="inlineStr">
        <is>
          <t>п. 5 — описано реакції на помилки та виняткові ситуації</t>
        </is>
      </c>
      <c r="E4" s="2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4" s="2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4" s="22" t="inlineStr">
        <is>
          <t>Тимчак А. (ТА)</t>
        </is>
      </c>
      <c r="H4" s="22" t="inlineStr">
        <is>
          <t>прийнято</t>
        </is>
      </c>
      <c r="I4" s="22" t="inlineStr">
        <is>
          <t>audit_tymchak №2</t>
        </is>
      </c>
      <c r="J4" s="22" t="inlineStr">
        <is>
          <t>Текст повідомлення — потребує підтвердження замовником.</t>
        </is>
      </c>
      <c r="L4" s="23" t="inlineStr">
        <is>
          <t>Несуперечливість</t>
        </is>
      </c>
      <c r="M4" s="23">
        <f>COUNTIF($C$2:$C$37,L4)</f>
        <v/>
      </c>
    </row>
    <row r="5">
      <c r="A5" s="22" t="n">
        <v>4</v>
      </c>
      <c r="B5" s="22" t="inlineStr">
        <is>
          <t>F-20</t>
        </is>
      </c>
      <c r="C5" s="22" t="inlineStr">
        <is>
          <t>Однозначність</t>
        </is>
      </c>
      <c r="D5" s="22" t="inlineStr">
        <is>
          <t>п. 2 — вимога чітка і зрозуміла; п. 4 — допускає єдину інтерпретацію</t>
        </is>
      </c>
      <c r="E5" s="2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5" s="22" t="inlineStr">
        <is>
          <t>Варіант Горбонос О. (СМ): 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
Варіант Тимчак А. (ТА): «Після успішного входу система перенаправляє покупця на сторінку особистого кабінету (F-130).»</t>
        </is>
      </c>
      <c r="G5" s="22" t="inlineStr">
        <is>
          <t>Горбонос О. (СМ), Тимчак А. (ТА)</t>
        </is>
      </c>
      <c r="H5" s="22" t="inlineStr">
        <is>
          <t>прийнято</t>
        </is>
      </c>
      <c r="I5" s="22" t="inlineStr">
        <is>
          <t>audit_horbonos №1; audit_tymchak №3</t>
        </is>
      </c>
      <c r="J5" s="22" t="inlineStr">
        <is>
          <t>Обидва варіанти ведуть у кабінет; варіант Горбонос додатково описує вхід на кроці «Sign in» (F-110).</t>
        </is>
      </c>
      <c r="L5" s="23" t="inlineStr">
        <is>
          <t>Простежуваність</t>
        </is>
      </c>
      <c r="M5" s="23">
        <f>COUNTIF($C$2:$C$37,L5)</f>
        <v/>
      </c>
    </row>
    <row r="6">
      <c r="A6" s="22" t="n">
        <v>5</v>
      </c>
      <c r="B6" s="22" t="inlineStr">
        <is>
          <t>F-30</t>
        </is>
      </c>
      <c r="C6" s="22" t="inlineStr">
        <is>
          <t>Здійсненність</t>
        </is>
      </c>
      <c r="D6" s="22" t="inlineStr">
        <is>
          <t>вимоги здійсненні з погляду наявних ресурсів; виконання не залежить від систем, які продукт не контролює</t>
        </is>
      </c>
      <c r="E6" s="2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6" s="22" t="inlineStr">
        <is>
          <t>Варіант Горбонос О. (СМ): 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
Варіант Тимчак А. (ТА): 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6" s="22" t="inlineStr">
        <is>
          <t>Горбонос О. (СМ), Тимчак А. (ТА)</t>
        </is>
      </c>
      <c r="H6" s="22" t="inlineStr">
        <is>
          <t>прийнято</t>
        </is>
      </c>
      <c r="I6" s="22" t="inlineStr">
        <is>
          <t>audit_horbonos №9; audit_tymchak №4</t>
        </is>
      </c>
      <c r="J6" s="22" t="inlineStr">
        <is>
          <t>Варіанти різняться лише часом передачі листа (1 с / 5 с) — потребує підтвердження замовником.</t>
        </is>
      </c>
      <c r="L6" s="23" t="inlineStr">
        <is>
          <t>Здійсненність</t>
        </is>
      </c>
      <c r="M6" s="23">
        <f>COUNTIF($C$2:$C$37,L6)</f>
        <v/>
      </c>
    </row>
    <row r="7">
      <c r="A7" s="22" t="n">
        <v>6</v>
      </c>
      <c r="B7" s="22" t="inlineStr">
        <is>
          <t>F-40 ↔ GUI-20</t>
        </is>
      </c>
      <c r="C7" s="22" t="inlineStr">
        <is>
          <t>Несуперечливість</t>
        </is>
      </c>
      <c r="D7" s="22" t="inlineStr">
        <is>
          <t>п. 2 — вимоги не суперечать одна одній</t>
        </is>
      </c>
      <c r="E7" s="2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7" s="22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7" s="22" t="inlineStr">
        <is>
          <t>Горбонос О. (СМ), Коротка К. (КТ), Дрєпіна А. (ІТ), Тимчак А. (ТА)</t>
        </is>
      </c>
      <c r="H7" s="22" t="inlineStr">
        <is>
          <t>прийнято</t>
        </is>
      </c>
      <c r="I7" s="22" t="inlineStr">
        <is>
          <t>audit_horbonos №7; audit_korotka №3; audit_drepina №1; audit_tymchak №5</t>
        </is>
      </c>
      <c r="J7" s="22" t="inlineStr">
        <is>
          <t>Усі четверо пропонують виправити GUI-20 на 9 карток (як у F-40 і в demo).</t>
        </is>
      </c>
      <c r="L7" s="23" t="inlineStr">
        <is>
          <t>Тестопридатність</t>
        </is>
      </c>
      <c r="M7" s="23">
        <f>COUNTIF($C$2:$C$37,L7)</f>
        <v/>
      </c>
    </row>
    <row r="8">
      <c r="A8" s="22" t="n">
        <v>7</v>
      </c>
      <c r="B8" s="22" t="inlineStr">
        <is>
          <t>F-50</t>
        </is>
      </c>
      <c r="C8" s="22" t="inlineStr">
        <is>
          <t>Однозначність</t>
        </is>
      </c>
      <c r="D8" s="22" t="inlineStr">
        <is>
          <t>п. 4 — вимога точна і допускає єдину інтерпретацію</t>
        </is>
      </c>
      <c r="E8" s="2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8" s="2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8" s="22" t="inlineStr">
        <is>
          <t>Тимчак А. (ТА)</t>
        </is>
      </c>
      <c r="H8" s="22" t="inlineStr">
        <is>
          <t>прийнято</t>
        </is>
      </c>
      <c r="I8" s="22" t="inlineStr">
        <is>
          <t>audit_tymchak №6</t>
        </is>
      </c>
      <c r="J8" s="22" t="inlineStr">
        <is>
          <t>Потребує підтвердження замовником.</t>
        </is>
      </c>
      <c r="L8" s="23" t="inlineStr">
        <is>
          <t>Разом</t>
        </is>
      </c>
      <c r="M8" s="23">
        <f>SUM(M2:M7)</f>
        <v/>
      </c>
    </row>
    <row r="9">
      <c r="A9" s="22" t="n">
        <v>8</v>
      </c>
      <c r="B9" s="22" t="inlineStr">
        <is>
          <t>F-50</t>
        </is>
      </c>
      <c r="C9" s="22" t="inlineStr">
        <is>
          <t>Тестопридатність</t>
        </is>
      </c>
      <c r="D9" s="22" t="inlineStr">
        <is>
          <t>практичний тест: тест-кейс з однозначним результатом «пройдено / не пройдено»</t>
        </is>
      </c>
      <c r="E9" s="2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9" s="22" t="inlineStr">
        <is>
          <t>«… список карток порожній, а система показує повідомлення «There are no products found.»»</t>
        </is>
      </c>
      <c r="G9" s="22" t="inlineStr">
        <is>
          <t>Тимчак А. (ТА)</t>
        </is>
      </c>
      <c r="H9" s="22" t="inlineStr">
        <is>
          <t>відхилено після обговорення</t>
        </is>
      </c>
      <c r="I9" s="22" t="inlineStr">
        <is>
          <t>audit_tymchak №7</t>
        </is>
      </c>
      <c r="J9" s="22" t="inlineStr">
        <is>
          <t>Класифікація: аналогічний дефект GUI-70 (текст повідомлення не задано) віднесено до однозначності — узгодити один критерій для обох рядків.</t>
        </is>
      </c>
      <c r="L9" s="23" t="n"/>
      <c r="M9" s="23" t="n"/>
    </row>
    <row r="10">
      <c r="A10" s="22" t="n">
        <v>9</v>
      </c>
      <c r="B10" s="22" t="inlineStr">
        <is>
          <t>F-60</t>
        </is>
      </c>
      <c r="C10" s="22" t="inlineStr">
        <is>
          <t>Однозначність</t>
        </is>
      </c>
      <c r="D10" s="22" t="inlineStr">
        <is>
          <t>п. 4 — вимога точна і допускає єдину інтерпретацію</t>
        </is>
      </c>
      <c r="E10" s="2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10" s="22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10" s="22" t="inlineStr">
        <is>
          <t>Горбонос О. (СМ), Тимчак А. (ТА)</t>
        </is>
      </c>
      <c r="H10" s="22" t="inlineStr">
        <is>
          <t>прийнято</t>
        </is>
      </c>
      <c r="I10" s="22" t="inlineStr">
        <is>
          <t>audit_horbonos №2; audit_tymchak №8</t>
        </is>
      </c>
      <c r="J10" s="22" t="inlineStr">
        <is>
          <t>Виправлення збігаються (підрядок, без урахування регістру).</t>
        </is>
      </c>
      <c r="L10" s="23" t="inlineStr">
        <is>
          <t>Статус «спірне»</t>
        </is>
      </c>
      <c r="M10" s="23">
        <f>COUNTIF($H$2:$H$37,"спірне")</f>
        <v/>
      </c>
    </row>
    <row r="11">
      <c r="A11" s="22" t="n">
        <v>10</v>
      </c>
      <c r="B11" s="22" t="inlineStr">
        <is>
          <t>F-90</t>
        </is>
      </c>
      <c r="C11" s="22" t="inlineStr">
        <is>
          <t>Тестопридатність</t>
        </is>
      </c>
      <c r="D11" s="22" t="inlineStr">
        <is>
          <t>практичний тест: тест-кейс з однозначним результатом «пройдено / не пройдено»</t>
        </is>
      </c>
      <c r="E11" s="2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1" s="22" t="inlineStr">
        <is>
          <t>Варіант Горбонос О. (СМ): 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
Варіант Тимчак А. (ТА): 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1" s="22" t="inlineStr">
        <is>
          <t>Горбонос О. (СМ), Тимчак А. (ТА)</t>
        </is>
      </c>
      <c r="H11" s="22" t="inlineStr">
        <is>
          <t>прийнято</t>
        </is>
      </c>
      <c r="I11" s="22" t="inlineStr">
        <is>
          <t>audit_horbonos №10; audit_tymchak №9</t>
        </is>
      </c>
      <c r="J11" s="22" t="inlineStr">
        <is>
          <t>Варіанти різняться часом (1 с / 2 с) і способом спостереження — потребує підтвердження замовником.</t>
        </is>
      </c>
      <c r="L11" s="23" t="inlineStr">
        <is>
          <t>Рядків в аркушах аудиту</t>
        </is>
      </c>
      <c r="M11" s="23" t="n">
        <v>68</v>
      </c>
    </row>
    <row r="12">
      <c r="A12" s="22" t="n">
        <v>11</v>
      </c>
      <c r="B12" s="22" t="inlineStr">
        <is>
          <t>F-100</t>
        </is>
      </c>
      <c r="C12" s="22" t="inlineStr">
        <is>
          <t>Повнота</t>
        </is>
      </c>
      <c r="D12" s="22" t="inlineStr">
        <is>
          <t>п. 3 — немає посилань на неіснуючі документи</t>
        </is>
      </c>
      <c r="E12" s="22" t="inlineStr">
        <is>
          <t>«Обмеження на кількість одиниць у рядку визначає вимога BL-25» — вимоги BL-25 у специфікації немає.</t>
        </is>
      </c>
      <c r="F12" s="22" t="inlineStr">
        <is>
          <t>Варіант Коротка К. (КТ), Тимчак А. (ТА): «Обмеження на кількість одиниць у рядку (від 1 до 99) визначають вимоги BL-10, BL-20 і BL-40.»
Варіант Горбонос О. (СМ): «Обмеження на кількість одиниць у рядку (ціле число від 1 до 99 включно) визначає вимога BL-40.»</t>
        </is>
      </c>
      <c r="G12" s="22" t="inlineStr">
        <is>
          <t>Горбонос О. (СМ), Коротка К. (КТ), Тимчак А. (ТА)</t>
        </is>
      </c>
      <c r="H12" s="22" t="inlineStr">
        <is>
          <t>прийнято</t>
        </is>
      </c>
      <c r="I12" s="22" t="inlineStr">
        <is>
          <t>audit_horbonos №3; audit_korotka №17; audit_tymchak №10</t>
        </is>
      </c>
      <c r="J12" s="22" t="n"/>
    </row>
    <row r="13">
      <c r="A13" s="22" t="n">
        <v>12</v>
      </c>
      <c r="B13" s="22" t="inlineStr">
        <is>
          <t>F-110 ↔ BL-60</t>
        </is>
      </c>
      <c r="C13" s="22" t="inlineStr">
        <is>
          <t>Несуперечливість</t>
        </is>
      </c>
      <c r="D13" s="22" t="inlineStr">
        <is>
          <t>п. 2 — вимоги не суперечать одна одній</t>
        </is>
      </c>
      <c r="E13" s="2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3" s="22" t="inlineStr">
        <is>
          <t>Варіант Горбонос О. (СМ), Дрєпіна А. (ІТ): 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
Варіант Тимчак А. (ТА), Коротка К. (КТ): F-110: «… вартість доставки визначається за BL-60: 0.00 грн, якщо сума після знижок не менша за 1500 грн, інакше 120.00 грн.»</t>
        </is>
      </c>
      <c r="G13" s="22" t="inlineStr">
        <is>
          <t>Горбонос О. (СМ), Коротка К. (КТ), Дрєпіна А. (ІТ), Тимчак А. (ТА)</t>
        </is>
      </c>
      <c r="H13" s="22" t="inlineStr">
        <is>
          <t>прийнято</t>
        </is>
      </c>
      <c r="I13" s="22" t="inlineStr">
        <is>
          <t>audit_horbonos №5; audit_korotka №16; audit_drepina №10; audit_tymchak №11</t>
        </is>
      </c>
      <c r="J13" s="22" t="inlineStr">
        <is>
          <t>Варіанти різняться базою порогу: сума після знижки за обсяг (Горбонос, Дрєпіна) чи після всіх знижок (Тимчак, Коротка) — пов'язано з рядком BL-60 (однозначність). Поріг — потребує підтвердження замовником.</t>
        </is>
      </c>
      <c r="L13" s="24" t="inlineStr">
        <is>
          <t>Чернетка SCRUM-53. Рядки впорядковано за порядком SRS (2.2 → F → GUI → P/S/U/D → BL). Однакові дефекти (той самий ID, критерій, суть) зведено в один рядок з усіма авторами; коли виправлення різняться, наведено всі варіанти з авторами. «спірне» — розбіжність у класифікації або сумнівний рядок; вирішення — поза цією задачею.</t>
        </is>
      </c>
    </row>
    <row r="14">
      <c r="A14" s="22" t="n">
        <v>13</v>
      </c>
      <c r="B14" s="22" t="inlineStr">
        <is>
          <t>F-110 ↔ розд. 2.3, пункт 3</t>
        </is>
      </c>
      <c r="C14" s="22" t="inlineStr">
        <is>
          <t>Несуперечливість</t>
        </is>
      </c>
      <c r="D14" s="22" t="inlineStr">
        <is>
          <t>п. 2 — вимоги не суперечать одна одній</t>
        </is>
      </c>
      <c r="E14" s="2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4" s="2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4" s="22" t="inlineStr">
        <is>
          <t>Тимчак А. (ТА)</t>
        </is>
      </c>
      <c r="H14" s="22" t="inlineStr">
        <is>
          <t>прийнято</t>
        </is>
      </c>
      <c r="I14" s="22" t="inlineStr">
        <is>
          <t>audit_tymchak №12</t>
        </is>
      </c>
      <c r="J14" s="22" t="inlineStr">
        <is>
          <t>Сумнівний: інші аудитори розділу 3 цього не позначили; виправлення конфліктує з варіантами виправлення рядка F-110 ↔ BL-60, які залишають знижки в підсумку. Альтернатива — інтегрувати модуль і змінити 2.3.</t>
        </is>
      </c>
    </row>
    <row r="15">
      <c r="A15" s="22" t="n">
        <v>14</v>
      </c>
      <c r="B15" s="22" t="inlineStr">
        <is>
          <t>F-120 ↔ GUI-40</t>
        </is>
      </c>
      <c r="C15" s="22" t="inlineStr">
        <is>
          <t>Несуперечливість</t>
        </is>
      </c>
      <c r="D15" s="22" t="inlineStr">
        <is>
          <t>п. 2 — вимоги не суперечать одна одній</t>
        </is>
      </c>
      <c r="E15" s="2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15" s="2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5" s="22" t="inlineStr">
        <is>
          <t>Горбонос О. (СМ), Коротка К. (КТ), Дрєпіна А. (ІТ), Тимчак А. (ТА)</t>
        </is>
      </c>
      <c r="H15" s="22" t="inlineStr">
        <is>
          <t>прийнято</t>
        </is>
      </c>
      <c r="I15" s="22" t="inlineStr">
        <is>
          <t>audit_horbonos №6; audit_korotka №5; audit_drepina №3; audit_tymchak №13</t>
        </is>
      </c>
      <c r="J15" s="22" t="inlineStr">
        <is>
          <t>Виправлення всіх чотирьох збігаються за змістом (обране — лише після входу; правиться F-120).</t>
        </is>
      </c>
    </row>
    <row r="16">
      <c r="A16" s="22" t="n">
        <v>15</v>
      </c>
      <c r="B16" s="22" t="inlineStr">
        <is>
          <t>F-140</t>
        </is>
      </c>
      <c r="C16" s="22" t="inlineStr">
        <is>
          <t>Повнота</t>
        </is>
      </c>
      <c r="D16" s="22" t="inlineStr">
        <is>
          <t>п. 4 — обумовлено всі допустимі й недопустимі вхідні дані; п. 5 — реакція на помилки</t>
        </is>
      </c>
      <c r="E16" s="2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6" s="22" t="inlineStr">
        <is>
          <t>Варіант Горбонос О. (СМ): 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
Варіант Тимчак А. (ТА): 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6" s="22" t="inlineStr">
        <is>
          <t>Горбонос О. (СМ), Тимчак А. (ТА)</t>
        </is>
      </c>
      <c r="H16" s="22" t="inlineStr">
        <is>
          <t>прийнято</t>
        </is>
      </c>
      <c r="I16" s="22" t="inlineStr">
        <is>
          <t>audit_horbonos №4; audit_tymchak №14</t>
        </is>
      </c>
      <c r="J16" s="22" t="inlineStr">
        <is>
          <t>Варіанти різняться форматами й розміром файла (PDF/PNG/JPG/TXT до 5 МБ / .txt до 500 КБ); максимальну довжину повідомлення пропонує лише Тимчак. Потребує підтвердження замовником.</t>
        </is>
      </c>
    </row>
    <row r="17">
      <c r="A17" s="22" t="n">
        <v>16</v>
      </c>
      <c r="B17" s="22" t="inlineStr">
        <is>
          <t>GUI-10</t>
        </is>
      </c>
      <c r="C17" s="22" t="inlineStr">
        <is>
          <t>Повнота</t>
        </is>
      </c>
      <c r="D17" s="22" t="inlineStr">
        <is>
          <t>п. 1 — вимога містить повну інформацію</t>
        </is>
      </c>
      <c r="E17" s="2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17" s="22" t="inlineStr">
        <is>
          <t>«…«Sign in» та перемикач мови інтерфейсу з варіантами DE, EL, EN, ES, FR, NL, TR; мова за замовчуванням — EN.»</t>
        </is>
      </c>
      <c r="G17" s="22" t="inlineStr">
        <is>
          <t>Коротка К. (КТ)</t>
        </is>
      </c>
      <c r="H17" s="22" t="inlineStr">
        <is>
          <t>відхилено після обговорення</t>
        </is>
      </c>
      <c r="I17" s="22" t="inlineStr">
        <is>
          <t>audit_korotka №2</t>
        </is>
      </c>
      <c r="J17" s="22" t="inlineStr">
        <is>
          <t>Сумнівний: автор вказав середню впевненість; другий аудитор розділу 4 (Дрєпіна) не знайшов. Перелік мов звірено з demo 01.10.2026.</t>
        </is>
      </c>
    </row>
    <row r="18">
      <c r="A18" s="22" t="n">
        <v>17</v>
      </c>
      <c r="B18" s="22" t="inlineStr">
        <is>
          <t>GUI-30 ↔ BL-10, BL-40</t>
        </is>
      </c>
      <c r="C18" s="22" t="inlineStr">
        <is>
          <t>Несуперечливість</t>
        </is>
      </c>
      <c r="D18" s="22" t="inlineStr">
        <is>
          <t>п. 2 — вимоги не суперечать одна одній</t>
        </is>
      </c>
      <c r="E18" s="2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18" s="2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18" s="22" t="inlineStr">
        <is>
          <t>Коротка К. (КТ), Дрєпіна А. (ІТ), Тимчак А. (ТА)</t>
        </is>
      </c>
      <c r="H18" s="22" t="inlineStr">
        <is>
          <t>прийнято</t>
        </is>
      </c>
      <c r="I18" s="22" t="inlineStr">
        <is>
          <t>audit_korotka №4; audit_drepina №2; audit_tymchak №23</t>
        </is>
      </c>
      <c r="J18" s="22" t="inlineStr">
        <is>
          <t>Виправлення всіх трьох збігаються (1–99, за замовчуванням 1).</t>
        </is>
      </c>
    </row>
    <row r="19">
      <c r="A19" s="22" t="n">
        <v>18</v>
      </c>
      <c r="B19" s="22" t="inlineStr">
        <is>
          <t>GUI-50</t>
        </is>
      </c>
      <c r="C19" s="22" t="inlineStr">
        <is>
          <t>Однозначність</t>
        </is>
      </c>
      <c r="D19" s="22" t="inlineStr">
        <is>
          <t>п. 1, 4 — вимога має одне значення й допускає єдину інтерпретацію</t>
        </is>
      </c>
      <c r="E19" s="2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19" s="2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19" s="22" t="inlineStr">
        <is>
          <t>Коротка К. (КТ), Дрєпіна А. (ІТ)</t>
        </is>
      </c>
      <c r="H19" s="22" t="inlineStr">
        <is>
          <t>прийнято</t>
        </is>
      </c>
      <c r="I19" s="22" t="inlineStr">
        <is>
          <t>audit_korotka №6; audit_drepina №9</t>
        </is>
      </c>
      <c r="J19" s="22" t="inlineStr">
        <is>
          <t>Виправлення збігаються (під полем); Дрєпіна додатково пропонує червоний колір. Місце виводу — потребує підтвердження замовником.</t>
        </is>
      </c>
    </row>
    <row r="20">
      <c r="A20" s="22" t="n">
        <v>19</v>
      </c>
      <c r="B20" s="22" t="inlineStr">
        <is>
          <t>GUI-60 (два рядки)</t>
        </is>
      </c>
      <c r="C20" s="22" t="inlineStr">
        <is>
          <t>Простежуваність</t>
        </is>
      </c>
      <c r="D20" s="22" t="inlineStr">
        <is>
          <t>п. 2 — усі вимоги мають унікальний ідентифікатор</t>
        </is>
      </c>
      <c r="E20" s="2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20" s="2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20" s="22" t="inlineStr">
        <is>
          <t>Коротка К. (КТ), Дрєпіна А. (ІТ), Тимчак А. (ТА)</t>
        </is>
      </c>
      <c r="H20" s="22" t="inlineStr">
        <is>
          <t>прийнято</t>
        </is>
      </c>
      <c r="I20" s="22" t="inlineStr">
        <is>
          <t>audit_korotka №7; audit_drepina №4; audit_tymchak №24</t>
        </is>
      </c>
      <c r="J20" s="22" t="inlineStr">
        <is>
          <t>Усі троє пропонують GUI-65 для форми реєстрації.</t>
        </is>
      </c>
    </row>
    <row r="21">
      <c r="A21" s="22" t="n">
        <v>20</v>
      </c>
      <c r="B21" s="22" t="inlineStr">
        <is>
          <t>GUI-70</t>
        </is>
      </c>
      <c r="C21" s="22" t="inlineStr">
        <is>
          <t>Однозначність</t>
        </is>
      </c>
      <c r="D21" s="22" t="inlineStr">
        <is>
          <t>п. 1, 4 — вимога має одне значення й допускає єдину інтерпретацію</t>
        </is>
      </c>
      <c r="E21" s="2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21" s="22" t="inlineStr">
        <is>
          <t>«Порожній кошик відображає замість таблиці текст «The cart is empty».»</t>
        </is>
      </c>
      <c r="G21" s="22" t="inlineStr">
        <is>
          <t>Коротка К. (КТ)</t>
        </is>
      </c>
      <c r="H21" s="22" t="inlineStr">
        <is>
          <t>відхилено після обговорення</t>
        </is>
      </c>
      <c r="I21" s="22" t="inlineStr">
        <is>
          <t>audit_korotka №8</t>
        </is>
      </c>
      <c r="J21" s="22" t="inlineStr">
        <is>
          <t>Сумнівний: автор вказав середню впевненість; другий аудитор розділу 4 (Дрєпіна) не знайшов. Класифікація: аналогічний дефект F-50 віднесено до тестопридатності. Текст — потребує підтвердження замовником.</t>
        </is>
      </c>
    </row>
    <row r="22">
      <c r="A22" s="22" t="n">
        <v>21</v>
      </c>
      <c r="B22" s="22" t="inlineStr">
        <is>
          <t>GUI-80</t>
        </is>
      </c>
      <c r="C22" s="22" t="inlineStr">
        <is>
          <t>Здійсненність</t>
        </is>
      </c>
      <c r="D22" s="22" t="inlineStr">
        <is>
          <t>єдиний пункт — технічні ресурси; залежність від систем, які продукт не контролює</t>
        </is>
      </c>
      <c r="E22" s="2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22" s="22" t="inlineStr">
        <is>
          <t>Варіант Коротка К. (КТ): 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
Варіант Дрєпіна А. (ІТ): 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22" s="22" t="inlineStr">
        <is>
          <t>Коротка К. (КТ), Дрєпіна А. (ІТ)</t>
        </is>
      </c>
      <c r="H22" s="22" t="inlineStr">
        <is>
          <t>прийнято</t>
        </is>
      </c>
      <c r="I22" s="22" t="inlineStr">
        <is>
          <t>audit_korotka №9; audit_drepina №5</t>
        </is>
      </c>
      <c r="J22" s="22" t="inlineStr">
        <is>
          <t>Варіанти суперечать один одному (не менше 1200×1200 / до 800×800) — потребує підтвердження замовником.</t>
        </is>
      </c>
    </row>
    <row r="23">
      <c r="A23" s="22" t="n">
        <v>22</v>
      </c>
      <c r="B23" s="22" t="inlineStr">
        <is>
          <t>GUI-100</t>
        </is>
      </c>
      <c r="C23" s="22" t="inlineStr">
        <is>
          <t>Тестопридатність</t>
        </is>
      </c>
      <c r="D23" s="22" t="inlineStr">
        <is>
          <t>немає критерію «пройдено / не пройдено»; слова-маркери</t>
        </is>
      </c>
      <c r="E23" s="2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23" s="22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23" s="22" t="inlineStr">
        <is>
          <t>Коротка К. (КТ), Дрєпіна А. (ІТ)</t>
        </is>
      </c>
      <c r="H23" s="22" t="inlineStr">
        <is>
          <t>прийнято</t>
        </is>
      </c>
      <c r="I23" s="22" t="inlineStr">
        <is>
          <t>audit_korotka №10; audit_drepina №6</t>
        </is>
      </c>
      <c r="J23" s="22" t="inlineStr">
        <is>
          <t>Виправлення сумісні (4,5:1, 14 px); варіант Дрєпіної повніший (3:1 для великих елементів, WCAG 2.1 AA). Потребує підтвердження замовником.</t>
        </is>
      </c>
    </row>
    <row r="24">
      <c r="A24" s="22" t="n">
        <v>23</v>
      </c>
      <c r="B24" s="22" t="inlineStr">
        <is>
          <t>P-10</t>
        </is>
      </c>
      <c r="C24" s="22" t="inlineStr">
        <is>
          <t>Здійсненність</t>
        </is>
      </c>
      <c r="D24" s="22" t="inlineStr">
        <is>
          <t>єдиний пункт — залежність від систем, які продукт не контролює</t>
        </is>
      </c>
      <c r="E24" s="2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24" s="22" t="inlineStr">
        <is>
          <t>Варіант Коротка К. (КТ): 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
Варіант Дрєпіна А. (ІТ): 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24" s="22" t="inlineStr">
        <is>
          <t>Коротка К. (КТ), Дрєпіна А. (ІТ)</t>
        </is>
      </c>
      <c r="H24" s="22" t="inlineStr">
        <is>
          <t>прийнято</t>
        </is>
      </c>
      <c r="I24" s="22" t="inlineStr">
        <is>
          <t>audit_korotka №11; audit_drepina №12</t>
        </is>
      </c>
      <c r="J24" s="22" t="inlineStr">
        <is>
          <t>Варіанти різняться значеннями (3 с у 95 % при 10 Мбіт/с / 2 с і FCP 1 с при 15 Мбіт/с) — потребує підтвердження замовником.</t>
        </is>
      </c>
    </row>
    <row r="25">
      <c r="A25" s="22" t="n">
        <v>24</v>
      </c>
      <c r="B25" s="22" t="inlineStr">
        <is>
          <t>S-10</t>
        </is>
      </c>
      <c r="C25" s="22" t="inlineStr">
        <is>
          <t>Тестопридатність</t>
        </is>
      </c>
      <c r="D25" s="22" t="inlineStr">
        <is>
          <t>немає критерію «пройдено / не пройдено»; слово-маркер «надійно»</t>
        </is>
      </c>
      <c r="E25" s="2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25" s="22" t="inlineStr">
        <is>
          <t>Варіант Коротка К. (КТ): 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
Варіант Дрєпіна А. (ІТ): 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25" s="22" t="inlineStr">
        <is>
          <t>Коротка К. (КТ), Дрєпіна А. (ІТ)</t>
        </is>
      </c>
      <c r="H25" s="22" t="inlineStr">
        <is>
          <t>прийнято</t>
        </is>
      </c>
      <c r="I25" s="22" t="inlineStr">
        <is>
          <t>audit_korotka №12; audit_drepina №13</t>
        </is>
      </c>
      <c r="J25" s="22" t="inlineStr">
        <is>
          <t>Варіанти частково перетинаються (bcrypt, HTTPS) і можуть бути об'єднані. Коротка: «не містить вразливостей» порушує й здійсненність, головний критерій — тестопридатність. Перелік заходів — потребує підтвердження замовником.</t>
        </is>
      </c>
    </row>
    <row r="26">
      <c r="A26" s="22" t="n">
        <v>25</v>
      </c>
      <c r="B26" s="22" t="inlineStr">
        <is>
          <t>U-10</t>
        </is>
      </c>
      <c r="C26" s="22" t="inlineStr">
        <is>
          <t>Тестопридатність</t>
        </is>
      </c>
      <c r="D26" s="22" t="inlineStr">
        <is>
          <t>немає критерію «пройдено / не пройдено»; слова-маркери «інтуїтивно», «зручно»</t>
        </is>
      </c>
      <c r="E26" s="22" t="inlineStr">
        <is>
          <t>«Інтерфейс є інтуїтивно зрозумілим і зручним для всіх категорій користувачів».</t>
        </is>
      </c>
      <c r="F26" s="22" t="inlineStr">
        <is>
          <t>Варіант Коротка К. (КТ): 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
Варіант Дрєпіна А. (ІТ): 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26" s="22" t="inlineStr">
        <is>
          <t>Коротка К. (КТ), Дрєпіна А. (ІТ)</t>
        </is>
      </c>
      <c r="H26" s="22" t="inlineStr">
        <is>
          <t>прийнято</t>
        </is>
      </c>
      <c r="I26" s="22" t="inlineStr">
        <is>
          <t>audit_korotka №13; audit_drepina №14</t>
        </is>
      </c>
      <c r="J26" s="22" t="inlineStr">
        <is>
          <t>Варіанти різняться методикою (4 з 5 учасників / 90 % з 10 респондентів) — потребує підтвердження замовником.</t>
        </is>
      </c>
    </row>
    <row r="27">
      <c r="A27" s="22" t="n">
        <v>26</v>
      </c>
      <c r="B27" s="22" t="inlineStr">
        <is>
          <t>розд. 6, між U-20 і D-10 (без ID)</t>
        </is>
      </c>
      <c r="C27" s="22" t="inlineStr">
        <is>
          <t>Простежуваність</t>
        </is>
      </c>
      <c r="D27" s="22" t="inlineStr">
        <is>
          <t>п. 2 — усі вимоги мають унікальний ідентифікатор</t>
        </is>
      </c>
      <c r="E27" s="2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27" s="22" t="inlineStr">
        <is>
          <t>Присвоїти вільний ID U-30 (наступний у групі U, крок 10).</t>
        </is>
      </c>
      <c r="G27" s="22" t="inlineStr">
        <is>
          <t>Коротка К. (КТ), Дрєпіна А. (ІТ)</t>
        </is>
      </c>
      <c r="H27" s="22" t="inlineStr">
        <is>
          <t>прийнято</t>
        </is>
      </c>
      <c r="I27" s="22" t="inlineStr">
        <is>
          <t>audit_korotka №14; audit_drepina №15</t>
        </is>
      </c>
      <c r="J27" s="22" t="inlineStr">
        <is>
          <t>Обидва пропонують U-30. Зміст рядка суперечить 2.2 — див. рядок «2.2 ↔ розд. 6».</t>
        </is>
      </c>
    </row>
    <row r="28">
      <c r="A28" s="22" t="n">
        <v>27</v>
      </c>
      <c r="B28" s="22" t="inlineStr">
        <is>
          <t>D-10</t>
        </is>
      </c>
      <c r="C28" s="22" t="inlineStr">
        <is>
          <t>Повнота</t>
        </is>
      </c>
      <c r="D28" s="22" t="inlineStr">
        <is>
          <t>п. 3 — немає посилань на неіснуючі документи</t>
        </is>
      </c>
      <c r="E28" s="2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28" s="2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28" s="22" t="inlineStr">
        <is>
          <t>Коротка К. (КТ), Дрєпіна А. (ІТ)</t>
        </is>
      </c>
      <c r="H28" s="22" t="inlineStr">
        <is>
          <t>прийнято</t>
        </is>
      </c>
      <c r="I28" s="22" t="inlineStr">
        <is>
          <t>audit_korotka №15; audit_drepina №16</t>
        </is>
      </c>
      <c r="J28" s="22" t="inlineStr">
        <is>
          <t>Виправлення збігаються за змістом (посилатися на розділ 5 / BL-50 – BL-80). Якщо регламент існує — додати його до 1.4 (потребує підтвердження замовником).</t>
        </is>
      </c>
    </row>
    <row r="29">
      <c r="A29" s="22" t="n">
        <v>28</v>
      </c>
      <c r="B29" s="22" t="inlineStr">
        <is>
          <t>BL-10</t>
        </is>
      </c>
      <c r="C29" s="22" t="inlineStr">
        <is>
          <t>Однозначність</t>
        </is>
      </c>
      <c r="D29" s="22" t="inlineStr">
        <is>
          <t>п. 4 (допускає єдину інтерпретацію; правило перевірки межі до чи після округлення)</t>
        </is>
      </c>
      <c r="E29" s="22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29" s="22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29" s="22" t="inlineStr">
        <is>
          <t>Дрєпіна А. (ІТ)</t>
        </is>
      </c>
      <c r="H29" s="22" t="inlineStr">
        <is>
          <t>прийнято</t>
        </is>
      </c>
      <c r="I29" s="22" t="inlineStr">
        <is>
          <t>audit_drepina №7</t>
        </is>
      </c>
      <c r="J29" s="22" t="inlineStr">
        <is>
          <t>Інший дефект BL-10 (параметр name) — окремий рядок.</t>
        </is>
      </c>
    </row>
    <row r="30">
      <c r="A30" s="22" t="n">
        <v>29</v>
      </c>
      <c r="B30" s="22" t="inlineStr">
        <is>
          <t>BL-10</t>
        </is>
      </c>
      <c r="C30" s="22" t="inlineStr">
        <is>
          <t>Повнота</t>
        </is>
      </c>
      <c r="D30" s="22" t="inlineStr">
        <is>
          <t>п. 4 — обумовлено всі допустимі й недопустимі вхідні дані</t>
        </is>
      </c>
      <c r="E30" s="2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30" s="2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30" s="22" t="inlineStr">
        <is>
          <t>Тимчак А. (ТА)</t>
        </is>
      </c>
      <c r="H30" s="22" t="inlineStr">
        <is>
          <t>прийнято</t>
        </is>
      </c>
      <c r="I30" s="22" t="inlineStr">
        <is>
          <t>audit_tymchak №15</t>
        </is>
      </c>
      <c r="J30" s="22" t="n"/>
    </row>
    <row r="31">
      <c r="A31" s="22" t="n">
        <v>30</v>
      </c>
      <c r="B31" s="22" t="inlineStr">
        <is>
          <t>BL-30 ↔ BL-20</t>
        </is>
      </c>
      <c r="C31" s="22" t="inlineStr">
        <is>
          <t>Простежуваність</t>
        </is>
      </c>
      <c r="D31" s="22" t="inlineStr">
        <is>
          <t>п. 1 — вимоги унікальні й не повторюються за змістом</t>
        </is>
      </c>
      <c r="E31" s="2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31" s="2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31" s="22" t="inlineStr">
        <is>
          <t>Коротка К. (КТ), Дрєпіна А. (ІТ), Тимчак А. (ТА)</t>
        </is>
      </c>
      <c r="H31" s="22" t="inlineStr">
        <is>
          <t>прийнято</t>
        </is>
      </c>
      <c r="I31" s="22" t="inlineStr">
        <is>
          <t>audit_korotka №18; audit_drepina №8; audit_tymchak №16</t>
        </is>
      </c>
      <c r="J31" s="22" t="inlineStr">
        <is>
          <t>Усі троє пропонують вилучити BL-30, не перевикористовуючи номер.</t>
        </is>
      </c>
    </row>
    <row r="32">
      <c r="A32" s="22" t="n">
        <v>31</v>
      </c>
      <c r="B32" s="22" t="inlineStr">
        <is>
          <t>BL-40</t>
        </is>
      </c>
      <c r="C32" s="22" t="inlineStr">
        <is>
          <t>Простежуваність</t>
        </is>
      </c>
      <c r="D32" s="22" t="inlineStr">
        <is>
          <t>п. 4 — формат ID дозволяє розділяти вимогу без впливу на решту ID</t>
        </is>
      </c>
      <c r="E32" s="2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32" s="2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32" s="22" t="inlineStr">
        <is>
          <t>Тимчак А. (ТА)</t>
        </is>
      </c>
      <c r="H32" s="22" t="inlineStr">
        <is>
          <t>відхилено після обговорення</t>
        </is>
      </c>
      <c r="I32" s="22" t="inlineStr">
        <is>
          <t>audit_tymchak №17</t>
        </is>
      </c>
      <c r="J32" s="22" t="inlineStr">
        <is>
          <t>Класифікація: п. 4 перевіряє формат ID, а не складеність вимоги; другий аудитор розділу 5 (Дрєпіна) не знайшов.</t>
        </is>
      </c>
    </row>
    <row r="33">
      <c r="A33" s="22" t="n">
        <v>32</v>
      </c>
      <c r="B33" s="22" t="inlineStr">
        <is>
          <t>BL-50</t>
        </is>
      </c>
      <c r="C33" s="22" t="inlineStr">
        <is>
          <t>Однозначність</t>
        </is>
      </c>
      <c r="D33" s="22" t="inlineStr">
        <is>
          <t>п. 4 — вимога точна і допускає єдину інтерпретацію</t>
        </is>
      </c>
      <c r="E33" s="2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33" s="22" t="inlineStr">
        <is>
          <t>«… обчислює знижку за обсяг: subtotal &lt; 2000 — 0 %; 2000 ≤ subtotal &lt; 5000 — 5 %; 5000 ≤ subtotal &lt; 10000 — 10 %; subtotal ≥ 10000 — 15 %; …»</t>
        </is>
      </c>
      <c r="G33" s="22" t="inlineStr">
        <is>
          <t>Тимчак А. (ТА)</t>
        </is>
      </c>
      <c r="H33" s="22" t="inlineStr">
        <is>
          <t>відхилено після обговорення</t>
        </is>
      </c>
      <c r="I33" s="22" t="inlineStr">
        <is>
          <t>audit_tymchak №18</t>
        </is>
      </c>
      <c r="J33" s="22" t="n"/>
    </row>
    <row r="34">
      <c r="A34" s="22" t="n">
        <v>33</v>
      </c>
      <c r="B34" s="22" t="inlineStr">
        <is>
          <t>BL-60</t>
        </is>
      </c>
      <c r="C34" s="22" t="inlineStr">
        <is>
          <t>Однозначність</t>
        </is>
      </c>
      <c r="D34" s="22" t="inlineStr">
        <is>
          <t>п. 4 — вимога точна і допускає єдину інтерпретацію</t>
        </is>
      </c>
      <c r="E34" s="2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34" s="2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34" s="22" t="inlineStr">
        <is>
          <t>Тимчак А. (ТА)</t>
        </is>
      </c>
      <c r="H34" s="22" t="inlineStr">
        <is>
          <t>прийнято</t>
        </is>
      </c>
      <c r="I34" s="22" t="inlineStr">
        <is>
          <t>audit_tymchak №19</t>
        </is>
      </c>
      <c r="J34" s="22" t="inlineStr">
        <is>
          <t>Пов'язано з рядком F-110 ↔ BL-60 (база порогу). Потребує підтвердження замовником.</t>
        </is>
      </c>
    </row>
    <row r="35">
      <c r="A35" s="22" t="n">
        <v>34</v>
      </c>
      <c r="B35" s="22" t="inlineStr">
        <is>
          <t>BL-70</t>
        </is>
      </c>
      <c r="C35" s="22" t="inlineStr">
        <is>
          <t>Тестопридатність</t>
        </is>
      </c>
      <c r="D35" s="22" t="inlineStr">
        <is>
          <t>практичний тест: тест-кейс з однозначним результатом «пройдено / не пройдено»</t>
        </is>
      </c>
      <c r="E35" s="2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35" s="2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35" s="22" t="inlineStr">
        <is>
          <t>Тимчак А. (ТА)</t>
        </is>
      </c>
      <c r="H35" s="22" t="inlineStr">
        <is>
          <t>прийнято</t>
        </is>
      </c>
      <c r="I35" s="22" t="inlineStr">
        <is>
          <t>audit_tymchak №20</t>
        </is>
      </c>
      <c r="J35" s="22" t="n"/>
    </row>
    <row r="36">
      <c r="A36" s="22" t="n">
        <v>35</v>
      </c>
      <c r="B36" s="22" t="inlineStr">
        <is>
          <t>BL-80</t>
        </is>
      </c>
      <c r="C36" s="22" t="inlineStr">
        <is>
          <t>Здійсненність</t>
        </is>
      </c>
      <c r="D36" s="22" t="inlineStr">
        <is>
          <t>виконання не залежить від систем, які продукт не контролює</t>
        </is>
      </c>
      <c r="E36" s="2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36" s="2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36" s="22" t="inlineStr">
        <is>
          <t>Дрєпіна А. (ІТ), Тимчак А. (ТА)</t>
        </is>
      </c>
      <c r="H36" s="22" t="inlineStr">
        <is>
          <t>прийнято</t>
        </is>
      </c>
      <c r="I36" s="22" t="inlineStr">
        <is>
          <t>audit_drepina №11; audit_tymchak №21</t>
        </is>
      </c>
      <c r="J36" s="22" t="inlineStr">
        <is>
          <t>Виправлення збігаються (перевірка лише в межах ШопЛайн, IllegalArgumentException).</t>
        </is>
      </c>
    </row>
    <row r="37">
      <c r="A37" s="22" t="n">
        <v>36</v>
      </c>
      <c r="B37" s="22" t="inlineStr">
        <is>
          <t>BL-70, BL-80 (немає вимоги)</t>
        </is>
      </c>
      <c r="C37" s="22" t="inlineStr">
        <is>
          <t>Повнота</t>
        </is>
      </c>
      <c r="D37" s="22" t="inlineStr">
        <is>
          <t>п. 2 — усі необхідні вимоги присутні</t>
        </is>
      </c>
      <c r="E37" s="2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37" s="2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37" s="22" t="inlineStr">
        <is>
          <t>Тимчак А. (ТА)</t>
        </is>
      </c>
      <c r="H37" s="22" t="inlineStr">
        <is>
          <t>прийнято</t>
        </is>
      </c>
      <c r="I37" s="22" t="inlineStr">
        <is>
          <t>audit_tymchak №22</t>
        </is>
      </c>
      <c r="J37" s="22" t="n"/>
    </row>
  </sheetData>
  <autoFilter ref="A1:J37"/>
  <mergeCells count="1">
    <mergeCell ref="L13:M20"/>
  </mergeCells>
  <conditionalFormatting sqref="A2:J37">
    <cfRule type="expression" priority="1" dxfId="0">
      <formula>$H2="спірне"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62" customWidth="1" min="3" max="3"/>
    <col width="22" customWidth="1" min="4" max="4"/>
    <col width="20" customWidth="1" min="5" max="5"/>
    <col width="52" customWidth="1" min="6" max="6"/>
  </cols>
  <sheetData>
    <row r="1">
      <c r="A1" s="5" t="inlineStr">
        <is>
          <t>Рядок реєстру</t>
        </is>
      </c>
      <c r="B1" s="5" t="inlineStr">
        <is>
          <t>Аргумент «за»</t>
        </is>
      </c>
      <c r="C1" s="5" t="inlineStr">
        <is>
          <t>Аргумент «проти»</t>
        </is>
      </c>
      <c r="D1" s="5" t="inlineStr">
        <is>
          <t>Рішення</t>
        </is>
      </c>
      <c r="E1" s="5" t="inlineStr">
        <is>
          <t>Хто вирішив / дата</t>
        </is>
      </c>
      <c r="F1" s="5" t="inlineStr">
        <is>
          <t>Пропозиція адвоката (чернетка до обговорення)</t>
        </is>
      </c>
    </row>
    <row r="2">
      <c r="A2" s="7" t="inlineStr">
        <is>
          <t>№8 · F-50 · Тестопридатність
Автор: Тимчак А. (ТА)
Позначено ТА як спірне</t>
        </is>
      </c>
      <c r="B2" s="7" t="inlineStr">
        <is>
          <t>F-50: «система показує текстове повідомлення про відсутність товарів» — текст не заданий. На demo виводиться «There are no products found.» (звірено 08.10.2026), але зі SRS цього не випливає: тест-кейс і розробник можуть очікувати різне формулювання (практичний тест чек-листа тестопридатності).</t>
        </is>
      </c>
      <c r="C2" s="7" t="inlineStr">
        <is>
          <t>Практичний тест тестопридатності проходить: результат «з'являється текстове повідомлення про відсутність товарів» перевіряється за наявністю повідомлення, число чи умова не відсутні. Точне формулювання — деталь дизайну. Виправлення лише називає текст і не додає ні числа, ні умови, ні способу спостереження, тобто за правилом «додає число — тестопридатність; уточнює об'єкт — однозначність» критерій обрано непослідовно: той самий випадок у №20 віднесено до однозначності.</t>
        </is>
      </c>
      <c r="D2" s="7" t="inlineStr">
        <is>
          <t>Відхилено після обговорення: наявність повідомлення про відсутність товарів перевіряється однозначно, порушеного пункту чек-листа немає; точний текст — деталь дизайну. Рішення однакове з №20.</t>
        </is>
      </c>
      <c r="E2" s="7" t="inlineStr">
        <is>
          <t>Команда (модерація: Коротка К., КТ), 08.10.2026</t>
        </is>
      </c>
      <c r="F2" s="7" t="inlineStr">
        <is>
          <t>Відхилити як необґрунтований (немає порушеного пункту чек-листа), якщо автор не покаже, що без точного тексту результат «пройдено / не пройдено» неоднозначний. Якщо команда прийме — один критерій для №8 і №20.</t>
        </is>
      </c>
    </row>
    <row r="3">
      <c r="A3" s="7" t="inlineStr">
        <is>
          <t>№13 · F-110 ↔ розд. 2.3, п. 3 · Несуперечливість
Автор: Тимчак А. (ТА)
Позначено ТА як спірне</t>
        </is>
      </c>
      <c r="B3" s="7" t="inlineStr">
        <is>
          <t>Пряма суперечність: F-110 вимагає в підсумку замовлення «знижку за обсяг, знижку за промокодом і вартість доставки», а 2.3 каже, що модуль програми лояльності «в поточній версії ще не інтегрований в інтерфейс». Те саме зафіксовано в ризику 3 плану тестування. Порушено п. 2 чек-листа несуперечливості.</t>
        </is>
      </c>
      <c r="C3" s="7" t="inlineStr">
        <is>
          <t>Інші аудитори розділу 3 цього не позначили. Виправлення конфліктує з №12: воно прибирає знижки з підсумку, але лишає вартість доставки, правило якої (BL-60) теж належить неінтегрованому модулю, тож виправлення внутрішньо неповне. Вступ SRS: документ описує «поточну версію продукту та вимоги до нової функції», тож F-110 може описувати цільову поведінку нової функції, а не поточний UI. Тоді суперечності немає, є нечітка межа «поточне / нове».</t>
        </is>
      </c>
      <c r="D3" s="7" t="inlineStr">
        <is>
          <t>Прийнято (несуперечливість, п. 2). Окремо не виправляється: F-110 правиться одним рішенням разом із №12 і №33 — знижки й доставка в підсумку замовлення позначаються як вимога нової функції. Потребує підтвердження замовником.</t>
        </is>
      </c>
      <c r="E3" s="7" t="inlineStr">
        <is>
          <t>Команда (модерація: Коротка К., КТ), 08.10.2026</t>
        </is>
      </c>
      <c r="F3" s="7" t="inlineStr">
        <is>
          <t>Прийняти як дефект, але не виправляти окремо від №12: ухвалити одне рішення для F-110. Варіант А — F-110 описує лише поточний UI (сума товарів), а знижки й доставка посилаються на розділ 5. Варіант Б — знижки й доставка в UI позначені як вимога нової функції. Потребує підтвердження замовником.</t>
        </is>
      </c>
    </row>
    <row r="4">
      <c r="A4" s="7" t="inlineStr">
        <is>
          <t>№16 · GUI-10 · Повнота
Автор: Коротка К. (КТ)
Позначено ТА як спірне</t>
        </is>
      </c>
      <c r="B4" s="7" t="inlineStr">
        <is>
          <t>GUI-10 називає «перемикач мови інтерфейсу», але не вказує, які мови доступні й яка мова за замовчуванням; тест не знає, що перевіряти (п. 1 чек-листа повноти). 2.2 фіксує лише, що інтерфейс demo англійською.</t>
        </is>
      </c>
      <c r="C4" s="7" t="inlineStr">
        <is>
          <t>Знайшов один автор із середньою впевненістю; другий аудитор розділу 4 не знайшов. Перелік DE, EL, EN, ES, FR, NL, TR узято з demo (звірено 08.10.2026), а не зі SRS. В ньому немає української, хоча замовник — українська компанія (Житомир), а план тестування (тип 14) спирається на українські формати. Виправлення фіксує набір мов, який може не відповідати потребам замовника: це рішення замовника, а не дефект тексту.</t>
        </is>
      </c>
      <c r="D4" s="7" t="inlineStr">
        <is>
          <t>Відхилено після обговорення як дефект SRS: перелік мов узято з demo, а не зі SRS, і він може не відповідати потребам замовника. Винесено питанням замовнику на демо: які мови підтримує перемикач, чи є українська, яка мова за замовчуванням.</t>
        </is>
      </c>
      <c r="E4" s="7" t="inlineStr">
        <is>
          <t>Команда (модерація: Коротка К., КТ), 08.10.2026</t>
        </is>
      </c>
      <c r="F4" s="7" t="inlineStr">
        <is>
          <t>Прийняти лише як питання замовнику: «які мови підтримує перемикач, чи є українська і яка мова за замовчуванням». Конкретний набір мов у SRS 1.1 не вносити без підтвердження замовником. Інакше відхилити.</t>
        </is>
      </c>
    </row>
    <row r="5">
      <c r="A5" s="7" t="inlineStr">
        <is>
          <t>№20 · GUI-70 · Однозначність
Автор: Коротка К. (КТ)
Позначено ТА як спірне</t>
        </is>
      </c>
      <c r="B5" s="7" t="inlineStr">
        <is>
          <t>GUI-70: «Порожній кошик відображає текстове повідомлення замість таблиці» — текст не заданий; тест-кейс не має точного очікуваного результату. Авторка пропонує «The cart is empty».</t>
        </is>
      </c>
      <c r="C5" s="7" t="inlineStr">
        <is>
          <t>Те саме, що №8: перевірка наявності повідомлення замість таблиці однозначна, формулювання тексту — дизайн. Авторка сама вказала середню впевненість, другий аудитор розділу 4 не знайшов. Запропонований текст на demo не звірено. Критерій (однозначність) відрізняється від №8 (тестопридатність) для того самого типу дефекту.</t>
        </is>
      </c>
      <c r="D5" s="7" t="inlineStr">
        <is>
          <t>Відхилено після обговорення: як і №8, наявність повідомлення замість таблиці перевіряється однозначно; точний текст — деталь дизайну.</t>
        </is>
      </c>
      <c r="E5" s="7" t="inlineStr">
        <is>
          <t>Команда (модерація: Коротка К., КТ), 08.10.2026</t>
        </is>
      </c>
      <c r="F5" s="7" t="inlineStr">
        <is>
          <t>Розглядати разом із №8 і ухвалити однакове рішення: відхилити, або прийняти обидва під одним критерієм. Текст повідомлення — потребує підтвердження замовником.</t>
        </is>
      </c>
    </row>
    <row r="6">
      <c r="A6" s="7" t="inlineStr">
        <is>
          <t>№31 · BL-40 · Простежуваність
Автор: Тимчак А. (ТА)
Позначено ТА як спірне</t>
        </is>
      </c>
      <c r="B6" s="7" t="inlineStr">
        <is>
          <t>BL-40 під одним ID описує чотири методи (removeItem, changeQty, subtotal, itemCount). Юніт-тест (спринт 4) і матриця простежуваності (спринт 5) не можуть послатися на окрему вимогу.</t>
        </is>
      </c>
      <c r="C6" s="7" t="inlineStr">
        <is>
          <t>Названий п. 4 чек-листа простежуваності перевіряє, чи формат ID дозволяє розділяти вимогу без впливу на решту ID; формат із кроком 10 це дозволяє, тож порушення цього пункту немає. Складеність вимоги — це питання атомарності, якого в шести чек-листах немає; пункти 1 і 5 стосуються дублів і перекриття. Другий аудитор розділу 5 не знайшов. Виправлення створює три нові ID (BL-42, BL-44, BL-46) і змінює структуру розділу, не усуваючи порушення названого пункту.</t>
        </is>
      </c>
      <c r="D6" s="7" t="inlineStr">
        <is>
          <t>Відхилено після обговорення: п. 4 чек-листа простежуваності не порушено — формат ID із кроком 10 дозволяє розділити вимогу без впливу на решту ID; інших порушених пунктів не названо.</t>
        </is>
      </c>
      <c r="E6" s="7" t="inlineStr">
        <is>
          <t>Команда (модерація: Коротка К., КТ), 08.10.2026</t>
        </is>
      </c>
      <c r="F6" s="7" t="inlineStr">
        <is>
          <t>Відхилити: названий пункт чек-листа не порушено. Якщо команда хоче залишити рядок, потрібен інший порушений пункт; без нього рядок не рахувати до нормативу.</t>
        </is>
      </c>
    </row>
    <row r="7">
      <c r="A7" s="7" t="inlineStr">
        <is>
          <t>№12 F-110 ↔ BL-60 (несуперечливість) + №33 BL-60 (однозначність)
Автори: усі четверо / Тимчак А. (ТА)
Додано адвокатом: різні виправлення одного питання</t>
        </is>
      </c>
      <c r="B7" s="7" t="inlineStr">
        <is>
          <t>Суперечність порогу безкоштовної доставки підтверджують усі четверо аудиторів (№12), а BL-60 не уточнює, яка саме знижка віднімається (№33). Обидва дефекти справжні, виправлення потрібні.</t>
        </is>
      </c>
      <c r="C7" s="7" t="inlineStr">
        <is>
          <t>Автори пропонують різну базу порогу: після знижки за обсяг (Горбонос, Дрєпіна) або після всіх знижок (Тимчак, Коротка). Беклог спринта 1 схиляє до другого варіанту (але не доводить його): US-08 «поріг рахується від суми після знижок, а не до них», US-09 «сума кошика після знижок перевищує поріг». Поріг 1500 і 2000 грн — теж припущення. US-09 каже «перевищує» (строго більше), BL-60 — «не менша за» (більше або дорівнює); у US-09 випадок «сума точно дорівнює порогу» названо лише тестовим, тож межа не узгоджена. З іншого боку, BL-60 називає параметр subtotalAfterDiscount у класі DiscountCalculator, який рахує лише знижку за обсяг (промокод — окремий клас PromoCodeValidator), тож буквальне читання BL-60 — після знижки за обсяг: саме ця неоднозначність і є дефектом №33. Прийняті як є, обидва рядки дадуть SRS 1.1 дві різні бази порогу.</t>
        </is>
      </c>
      <c r="D7" s="7" t="inlineStr">
        <is>
          <t>Прийнято обидва (№12 — несуперечливість, №33 — однозначність). Одне рішення для F-110 і BL-60: база порогу — сума після знижки за обсяг і знижки за промокодом, поріг 1500 грн, межа «не менша за». Потребує підтвердження замовником.</t>
        </is>
      </c>
      <c r="E7" s="7" t="inlineStr">
        <is>
          <t>Команда (модерація: Коротка К., КТ), 08.10.2026</t>
        </is>
      </c>
      <c r="F7" s="7" t="inlineStr">
        <is>
          <t>Об'єднати №12 і №33 в одне рішення: база порогу = сума після знижки за обсяг і знижки за промокодом (так схиляє беклог US-08/US-09), поріг 1500 грн за BL-60, межа «не менша за». Однаково відобразити в F-110 і BL-60. База, поріг і межа — потребують підтвердження замовником.</t>
        </is>
      </c>
    </row>
    <row r="8">
      <c r="A8" s="7" t="inlineStr">
        <is>
          <t>№32 · BL-50 · Однозначність
Автор: Тимчак А. (ТА)
Додано адвокатом</t>
        </is>
      </c>
      <c r="B8" s="7" t="inlineStr">
        <is>
          <t>BL-50: «при сумі від 2000 грн — 5 %, від 5000 грн — 10 %, від 10000 грн — 15 %». Діапазони формально перекриваються (6000 грн одночасно «від 2000» і «від 5000»), межі не названо включними чи виключними.</t>
        </is>
      </c>
      <c r="C8" s="7" t="inlineStr">
        <is>
          <t>«Від N» означає нижню межу включно, а застосування лише найвищого рівня випливає з беклогу: US-06 «межі трьох рівнів суми (тест на ±1 грн від порогу), застосування лише найвищого рівня». Отже, є єдина інтерпретація і п. 4 чек-листа однозначності не порушено. Виправлення лише переписує ті самі правила нерівностями.</t>
        </is>
      </c>
      <c r="D8" s="7" t="inlineStr">
        <is>
          <t>Відхилено після обговорення: «від N» — нижня межа включно, застосовується лише найвищий рівень (US-06); єдина інтерпретація існує, п. 4 не порушено.</t>
        </is>
      </c>
      <c r="E8" s="7" t="inlineStr">
        <is>
          <t>Команда (модерація: Коротка К., КТ), 08.10.2026</t>
        </is>
      </c>
      <c r="F8" s="7" t="inlineStr">
        <is>
          <t>Відхилити як необґрунтований, або перевести в рекомендацію (запис нерівностями) без підрахунку до нормативу.</t>
        </is>
      </c>
    </row>
    <row r="9">
      <c r="A9" s="7" t="inlineStr">
        <is>
          <t>№34 · BL-70 · Тестопридатність
Автор: Тимчак А. (ТА)
Додано адвокатом</t>
        </is>
      </c>
      <c r="B9" s="7" t="inlineStr">
        <is>
          <t>BL-70: «Результат містить ознаку придатності та причину відмови» — перелік причин не заданий; тест не може перевірити, яку саме причину повернуто.</t>
        </is>
      </c>
      <c r="C9" s="7" t="inlineStr">
        <is>
          <t>Причини однозначно виводяться з п'яти умов самого BL-70 (довжина, дата, одноразовість, відсоток, фіксована сума). Виправлення додає значення NOT_FOUND («код не існує»), якого в SRS немає: validate(code, today, subtotal) не має реєстру кодів, тож це нова поведінка без основи, тобто виправлення породжує новий дефект. Воно також змінює тип «причини» (текст → перелік кодів) без позначки «потребує підтвердження замовником».</t>
        </is>
      </c>
      <c r="D9" s="7" t="inlineStr">
        <is>
          <t>Прийнято (тестопридатність). Виправлення переписує ТА перед SRS 1.1: прибрати NOT_FOUND, по одній причині на кожну умову BL-70, позначка «потребує підтвердження замовником».</t>
        </is>
      </c>
      <c r="E9" s="7" t="inlineStr">
        <is>
          <t>Команда (модерація: Коротка К., КТ), 08.10.2026</t>
        </is>
      </c>
      <c r="F9" s="7" t="inlineStr">
        <is>
          <t>Прийняти дефект, але переписати виправлення: прибрати NOT_FOUND, зв'язати по одній причині з кожною умовою BL-70, позначити «потребує підтвердження замовником».</t>
        </is>
      </c>
    </row>
    <row r="10">
      <c r="A10" s="7" t="inlineStr">
        <is>
          <t>№36 · BL-70, BL-80 (немає вимоги) · Повнота
Автор: Тимчак А. (ТА)
Додано адвокатом</t>
        </is>
      </c>
      <c r="B10" s="7" t="inlineStr">
        <is>
          <t>Реальна прогалина (п. 2 чек-листа повноти): BL-70 дозволяє фіксований промокод до subtotal, а BL-50 дає знижку за обсяг окремо. Для subtotal 2000 грн: 2000 − 100 (5 %) − 2000 (промокод) = −100 грн. Правил сумісного застосування знижок немає.</t>
        </is>
      </c>
      <c r="C10" s="7" t="inlineStr">
        <is>
          <t>Виправлення додає нову вимогу BL-90, яка вирішує бізнес-питання (обрізання до 0.00) без позначки «потребує підтвердження замовником»: колонка «Примітка» порожня. Воно додає до суми вартість доставки, чого немає в BL-60 (shippingFee лише повертає вартість) — це вихід за межі дефекту. Методу «сума до оплати» в модулі немає, тож BL-90 вимагає нового API. Знайшов один автор. Простіше виправлення: обмежити фіксований промокод у BL-70 значенням subtotal мінус знижка за обсяг.</t>
        </is>
      </c>
      <c r="D10" s="7" t="inlineStr">
        <is>
          <t>Прийнято (повнота, п. 2). Виправлення переписує ТА перед SRS 1.1: обмежити фіксований промокод у BL-70 (не більше subtotal мінус знижка за обсяг) або BL-90 лише з обрізанням до 0.00 і без доставки; потребує підтвердження замовником.</t>
        </is>
      </c>
      <c r="E10" s="7" t="inlineStr">
        <is>
          <t>Команда (модерація: Коротка К., КТ), 08.10.2026</t>
        </is>
      </c>
      <c r="F10" s="7" t="inlineStr">
        <is>
          <t>Прийняти дефект, але переписати виправлення: або обмеження в BL-70 (фіксована сума не більша за subtotal мінус знижка за обсяг), або BL-90 лише з обрізанням до 0.00 і без доставки. Потребує підтвердження замовником.</t>
        </is>
      </c>
    </row>
    <row r="12" ht="32" customHeight="1">
      <c r="A12" s="10" t="inlineStr">
        <is>
          <t>ШопЛайн · Спринт 2 · 08.10.2026 · Аркуш веде: Горбонос О. (СМ), «адвокат замовника».</t>
        </is>
      </c>
    </row>
    <row r="13" ht="32" customHeight="1">
      <c r="A13" s="10" t="inlineStr">
        <is>
          <t>Рядки №8, 13, 16, 20, 31 позначила ТА як «спірне»; решту додано адвокатом за результатами перевірки реєстру (36 рядків) проти SRS 1.0 і беклогу спринта 1.</t>
        </is>
      </c>
    </row>
    <row r="14" ht="32" customHeight="1">
      <c r="A14" s="10" t="inlineStr">
        <is>
          <t>Стовпці «Рішення» і «Хто вирішив / дата» заповнюються після обговорення командою за модерації КТ; стовпець «Пропозиція адвоката» — чернетка, не рішення. Необґрунтовані рядки позначаються «відхилено після обговорення» і лишаються в «Реєстрі» зі статусом.</t>
        </is>
      </c>
    </row>
  </sheetData>
  <mergeCells count="3">
    <mergeCell ref="A13:F13"/>
    <mergeCell ref="A14:F14"/>
    <mergeCell ref="A12:F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2026-10-08T08:28:12Z</dcterms:modified>
</cp:coreProperties>
</file>