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Розподіл розділів" sheetId="1" state="visible" r:id="rId1"/>
    <sheet name="audit_horbonos" sheetId="2" state="visible" r:id="rId2"/>
    <sheet name="audit_korotka" sheetId="3" state="visible" r:id="rId3"/>
    <sheet name="audit_tymcha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i val="1"/>
      <sz val="9"/>
    </font>
  </fonts>
  <fills count="3">
    <fill>
      <patternFill/>
    </fill>
    <fill>
      <patternFill patternType="gray125"/>
    </fill>
    <fill>
      <patternFill patternType="solid">
        <fgColor rgb="00D9E1F2"/>
        <bgColor rgb="00D9E1F2"/>
      </patternFill>
    </fill>
  </fills>
  <borders count="3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2" fillId="0" borderId="0" pivotButton="0" quotePrefix="0" xfId="0"/>
    <xf numFmtId="0" fontId="1" fillId="2" borderId="0" applyAlignment="1" pivotButton="0" quotePrefix="0" xfId="0">
      <alignment vertical="center" wrapText="1"/>
    </xf>
    <xf numFmtId="0" fontId="1" fillId="2" borderId="2" applyAlignment="1" pivotButton="0" quotePrefix="0" xfId="0">
      <alignment vertical="center" wrapText="1"/>
    </xf>
    <xf numFmtId="0" fontId="1" fillId="2" borderId="2" pivotButton="0" quotePrefix="0" xfId="0"/>
    <xf numFmtId="0" fontId="0" fillId="0" borderId="2" applyAlignment="1" pivotButton="0" quotePrefix="0" xfId="0">
      <alignment vertical="top" wrapText="1"/>
    </xf>
    <xf numFmtId="0" fontId="0" fillId="0" borderId="2" pivotButton="0" quotePrefix="0" xfId="0"/>
    <xf numFmtId="0" fontId="1" fillId="0" borderId="2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14" customWidth="1" min="4" max="4"/>
  </cols>
  <sheetData>
    <row r="1">
      <c r="A1" s="1" t="inlineStr">
        <is>
          <t>Розділ</t>
        </is>
      </c>
      <c r="B1" s="1" t="inlineStr">
        <is>
          <t>Перевіряє 1</t>
        </is>
      </c>
      <c r="C1" s="1" t="inlineStr">
        <is>
          <t>Перевіряє 2</t>
        </is>
      </c>
      <c r="D1" s="1" t="inlineStr">
        <is>
          <t>Дедлайн аудиту</t>
        </is>
      </c>
    </row>
    <row r="2">
      <c r="A2" s="2" t="inlineStr">
        <is>
          <t>1–2 (Вступ, терміни, ролі, середовище, обмеження)</t>
        </is>
      </c>
      <c r="B2" s="2" t="inlineStr">
        <is>
          <t>Горбонос О. (СМ)</t>
        </is>
      </c>
      <c r="C2" s="2" t="inlineStr">
        <is>
          <t>Коротка К. (КТ)</t>
        </is>
      </c>
      <c r="D2" s="2" t="inlineStr">
        <is>
          <t>День 4</t>
        </is>
      </c>
    </row>
    <row r="3">
      <c r="A3" s="2" t="inlineStr">
        <is>
          <t>3 (Функціональні вимоги, F-xx)</t>
        </is>
      </c>
      <c r="B3" s="2" t="inlineStr">
        <is>
          <t>Тимчак А. (ТА)</t>
        </is>
      </c>
      <c r="C3" s="2" t="inlineStr">
        <is>
          <t>Горбонос О. (СМ)</t>
        </is>
      </c>
      <c r="D3" s="2" t="inlineStr">
        <is>
          <t>День 4</t>
        </is>
      </c>
    </row>
    <row r="4">
      <c r="A4" s="2" t="inlineStr">
        <is>
          <t>4 (Інтерфейс користувача, GUI-xx)</t>
        </is>
      </c>
      <c r="B4" s="2" t="inlineStr">
        <is>
          <t>Дрєпіна А. (ІТ)</t>
        </is>
      </c>
      <c r="C4" s="2" t="inlineStr">
        <is>
          <t>Коротка К. (КТ)</t>
        </is>
      </c>
      <c r="D4" s="2" t="inlineStr">
        <is>
          <t>День 4</t>
        </is>
      </c>
    </row>
    <row r="5">
      <c r="A5" s="2" t="inlineStr">
        <is>
          <t>5 (Бізнес-логіка модуля, BL-xx)</t>
        </is>
      </c>
      <c r="B5" s="2" t="inlineStr">
        <is>
          <t>Тимчак А. (ТА)</t>
        </is>
      </c>
      <c r="C5" s="2" t="inlineStr">
        <is>
          <t>Дрєпіна А. (ІТ)</t>
        </is>
      </c>
      <c r="D5" s="2" t="inlineStr">
        <is>
          <t>День 4</t>
        </is>
      </c>
    </row>
    <row r="6">
      <c r="A6" s="2" t="inlineStr">
        <is>
          <t>6 (Нефункціональні вимоги, P-/S-/U-/D-xx)</t>
        </is>
      </c>
      <c r="B6" s="2" t="inlineStr">
        <is>
          <t>Дрєпіна А. (ІТ)</t>
        </is>
      </c>
      <c r="C6" s="2" t="inlineStr">
        <is>
          <t>Коротка К. (КТ)</t>
        </is>
      </c>
      <c r="D6" s="2" t="inlineStr">
        <is>
          <t>День 4</t>
        </is>
      </c>
    </row>
    <row r="8">
      <c r="A8" s="3" t="inlineStr">
        <is>
          <t>Кожен розділ перевіряють рівно двоє незалежно; обговорення знахідок до дня 5 заборонене.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20" customWidth="1" min="3" max="3"/>
    <col width="46" customWidth="1" min="4" max="4"/>
    <col width="52" customWidth="1" min="5" max="5"/>
    <col width="62" customWidth="1" min="6" max="6"/>
    <col width="18" customWidth="1" min="7" max="7"/>
    <col width="22" customWidth="1" min="9" max="9"/>
    <col width="12" customWidth="1" min="10" max="10"/>
  </cols>
  <sheetData>
    <row r="1">
      <c r="A1" s="5" t="inlineStr">
        <is>
          <t>№</t>
        </is>
      </c>
      <c r="B1" s="5" t="inlineStr">
        <is>
          <t>ID/локатор</t>
        </is>
      </c>
      <c r="C1" s="5" t="inlineStr">
        <is>
          <t>Критерій</t>
        </is>
      </c>
      <c r="D1" s="5" t="inlineStr">
        <is>
          <t>Пункт чек-листа</t>
        </is>
      </c>
      <c r="E1" s="5" t="inlineStr">
        <is>
          <t>Цитата</t>
        </is>
      </c>
      <c r="F1" s="5" t="inlineStr">
        <is>
          <t>Виправлення</t>
        </is>
      </c>
      <c r="G1" s="5" t="inlineStr">
        <is>
          <t>Хто знайшов</t>
        </is>
      </c>
      <c r="I1" s="6" t="inlineStr">
        <is>
          <t>Критерій</t>
        </is>
      </c>
      <c r="J1" s="6" t="inlineStr">
        <is>
          <t>Рядків</t>
        </is>
      </c>
    </row>
    <row r="2">
      <c r="A2" s="7" t="n">
        <v>1</v>
      </c>
      <c r="B2" s="7" t="inlineStr">
        <is>
          <t>F-20</t>
        </is>
      </c>
      <c r="C2" s="7" t="inlineStr">
        <is>
          <t>Однозначність</t>
        </is>
      </c>
      <c r="D2" s="7" t="inlineStr">
        <is>
          <t>п. 2 (вимога чітка і зрозуміла), п. 4 (допускає єдину інтерпретацію). Цільова сторінка не названа, тож тест-кейс має кілька «очікуваних результатів».</t>
        </is>
      </c>
      <c r="E2" s="7" t="inlineStr">
        <is>
          <t>«Після успішного входу система перенаправляє користувача на відповідну сторінку.»</t>
        </is>
      </c>
      <c r="F2" s="7" t="inlineStr">
        <is>
          <t>«Після успішного входу система перенаправляє покупця на сторінку особистого кабінету (/account); якщо вхід виконано на кроці «Sign in» оформлення замовлення (F-110) — на крок «Billing Address».»</t>
        </is>
      </c>
      <c r="G2" s="7" t="inlineStr">
        <is>
          <t>Горбонос О. (СМ)</t>
        </is>
      </c>
      <c r="I2" s="8" t="inlineStr">
        <is>
          <t>Однозначність</t>
        </is>
      </c>
      <c r="J2" s="8">
        <f>COUNTIF($C$2:$C$11,I2)</f>
        <v/>
      </c>
    </row>
    <row r="3">
      <c r="A3" s="7" t="n">
        <v>2</v>
      </c>
      <c r="B3" s="7" t="inlineStr">
        <is>
          <t>F-60</t>
        </is>
      </c>
      <c r="C3" s="7" t="inlineStr">
        <is>
          <t>Однозначність</t>
        </is>
      </c>
      <c r="D3" s="7" t="inlineStr">
        <is>
          <t>п. 4 (допускає єдину інтерпретацію), п. 3 (трактується в сенсі автора). «Схожі» не задає правила збігу: підрядок, нечіткий пошук чи синоніми.</t>
        </is>
      </c>
      <c r="E3" s="7" t="inlineStr">
        <is>
          <t>«Поле пошуку на головній сторінці дозволяє знайти товари, назви яких схожі на введений запит.»</t>
        </is>
      </c>
      <c r="F3" s="7" t="inlineStr">
        <is>
          <t>«Поле пошуку на головній сторінці дозволяє знайти товари, назви яких містять введений запит (без урахування регістру літер).» (Правило звірено з demo: запит «PLI» повертає «Pliers», «Combination Pliers» та інші.)</t>
        </is>
      </c>
      <c r="G3" s="7" t="inlineStr">
        <is>
          <t>Горбонос О. (СМ)</t>
        </is>
      </c>
      <c r="I3" s="8" t="inlineStr">
        <is>
          <t>Повнота</t>
        </is>
      </c>
      <c r="J3" s="8">
        <f>COUNTIF($C$2:$C$11,I3)</f>
        <v/>
      </c>
    </row>
    <row r="4">
      <c r="A4" s="7" t="n">
        <v>3</v>
      </c>
      <c r="B4" s="7" t="inlineStr">
        <is>
          <t>F-100</t>
        </is>
      </c>
      <c r="C4" s="7" t="inlineStr">
        <is>
          <t>Повнота</t>
        </is>
      </c>
      <c r="D4" s="7" t="inlineStr">
        <is>
          <t>п. 3 (немає посилань на неіснуючі документи). У розділі 5 є вимоги BL-10…BL-80 з кроком 10; BL-25 немає.</t>
        </is>
      </c>
      <c r="E4" s="7" t="inlineStr">
        <is>
          <t>«Обмеження на кількість одиниць у рядку визначає вимога BL-25.»</t>
        </is>
      </c>
      <c r="F4" s="7" t="inlineStr">
        <is>
          <t>«Обмеження на кількість одиниць у рядку (ціле число від 1 до 99 включно) визначає вимога BL-40.»</t>
        </is>
      </c>
      <c r="G4" s="7" t="inlineStr">
        <is>
          <t>Горбонос О. (СМ)</t>
        </is>
      </c>
      <c r="I4" s="8" t="inlineStr">
        <is>
          <t>Несуперечливість</t>
        </is>
      </c>
      <c r="J4" s="8">
        <f>COUNTIF($C$2:$C$11,I4)</f>
        <v/>
      </c>
    </row>
    <row r="5">
      <c r="A5" s="7" t="n">
        <v>4</v>
      </c>
      <c r="B5" s="7" t="inlineStr">
        <is>
          <t>F-140</t>
        </is>
      </c>
      <c r="C5" s="7" t="inlineStr">
        <is>
          <t>Повнота</t>
        </is>
      </c>
      <c r="D5" s="7" t="inlineStr">
        <is>
          <t>п. 4 (обумовлено всі допустимі та недопустимі вхідні дані), п. 5 (реакція на помилки). Для вкладення не задано формат, розмір і реакцію на недопустимий файл.</t>
        </is>
      </c>
      <c r="E5" s="7" t="inlineStr">
        <is>
          <t>«До звернення можна додати файл-вкладення.»</t>
        </is>
      </c>
      <c r="F5" s="7" t="inlineStr">
        <is>
          <t>«До звернення можна додати один файл-вкладення розміром до 5 МБ у форматі PDF, PNG, JPG або TXT; для файлу, що не відповідає цим умовам, система показує повідомлення про недопустимий файл біля поля вкладення і не надсилає звернення (GUI-50).» (Формати й межа 5 МБ — потребує підтвердження замовником.)</t>
        </is>
      </c>
      <c r="G5" s="7" t="inlineStr">
        <is>
          <t>Горбонос О. (СМ)</t>
        </is>
      </c>
      <c r="I5" s="8" t="inlineStr">
        <is>
          <t>Простежуваність</t>
        </is>
      </c>
      <c r="J5" s="8">
        <f>COUNTIF($C$2:$C$11,I5)</f>
        <v/>
      </c>
    </row>
    <row r="6">
      <c r="A6" s="7" t="n">
        <v>5</v>
      </c>
      <c r="B6" s="7" t="inlineStr">
        <is>
          <t>F-110 ↔ BL-60</t>
        </is>
      </c>
      <c r="C6" s="7" t="inlineStr">
        <is>
          <t>Несуперечливість</t>
        </is>
      </c>
      <c r="D6" s="7" t="inlineStr">
        <is>
          <t>п. 2 (вимоги не суперечать одна одній). Різний поріг безкоштовної доставки; у F-110 також не вказано, до чи після знижки рахується сума.</t>
        </is>
      </c>
      <c r="E6" s="7" t="inlineStr">
        <is>
          <t>F-110: «для замовлень від 2000 грн доставка безкоштовна». BL-60: «0.00 грн, якщо сума після знижки не менша за 1500 грн».</t>
        </is>
      </c>
      <c r="F6" s="7" t="inlineStr">
        <is>
          <t>У F-110: «… вартість доставки: 120 грн; якщо сума замовлення після знижки за обсяг становить не менше 1500 грн, доставка безкоштовна.» (Поріг 1500 грн узято з BL-60 — потребує підтвердження замовником.)</t>
        </is>
      </c>
      <c r="G6" s="7" t="inlineStr">
        <is>
          <t>Горбонос О. (СМ)</t>
        </is>
      </c>
      <c r="I6" s="8" t="inlineStr">
        <is>
          <t>Здійсненність</t>
        </is>
      </c>
      <c r="J6" s="8">
        <f>COUNTIF($C$2:$C$11,I6)</f>
        <v/>
      </c>
    </row>
    <row r="7">
      <c r="A7" s="7" t="n">
        <v>6</v>
      </c>
      <c r="B7" s="7" t="inlineStr">
        <is>
          <t>F-120 ↔ GUI-40</t>
        </is>
      </c>
      <c r="C7" s="7" t="inlineStr">
        <is>
          <t>Несуперечливість</t>
        </is>
      </c>
      <c r="D7" s="7" t="inlineStr">
        <is>
          <t>п. 2 (вимоги не суперечать одна одній). На користь правки F-120: 1.3 («Обране» — збережені зареєстрованим покупцем) і 2.1 (обране лише в ролі «Зареєстрований покупець»).</t>
        </is>
      </c>
      <c r="E7" s="7" t="inlineStr">
        <is>
          <t>F-120: «Покупець може додати товар до списку обраного кнопкою «Add to favourites» без входу в систему». GUI-40: «якщо покупець не увійшов у систему, … товар до обраного не додається».</t>
        </is>
      </c>
      <c r="F7" s="7" t="inlineStr">
        <is>
          <t>У F-120: «Зареєстрований покупець, який увійшов у систему, може додати товар до списку обраного кнопкою «Add to favourites»; для неавторизованого покупця поведінку визначає GUI-40. Список обраного доступний у кабінеті («My favorites»), де позицію можна видалити.»</t>
        </is>
      </c>
      <c r="G7" s="7" t="inlineStr">
        <is>
          <t>Горбонос О. (СМ)</t>
        </is>
      </c>
      <c r="I7" s="8" t="inlineStr">
        <is>
          <t>Тестопридатність</t>
        </is>
      </c>
      <c r="J7" s="8">
        <f>COUNTIF($C$2:$C$11,I7)</f>
        <v/>
      </c>
    </row>
    <row r="8">
      <c r="A8" s="7" t="n">
        <v>7</v>
      </c>
      <c r="B8" s="7" t="inlineStr">
        <is>
          <t>F-40 ↔ GUI-20</t>
        </is>
      </c>
      <c r="C8" s="7" t="inlineStr">
        <is>
          <t>Несуперечливість</t>
        </is>
      </c>
      <c r="D8" s="7" t="inlineStr">
        <is>
          <t>п. 2 (вимоги не суперечать одна одній). Різна кількість карток на сторінці; на demo каталог показує 9 карток (сітка 3×3), тож правиться GUI-20.</t>
        </is>
      </c>
      <c r="E8" s="7" t="inlineStr">
        <is>
          <t>F-40: «по 9 карток на сторінці». GUI-20: «у три колонки по 12 карток на сторінці».</t>
        </is>
      </c>
      <c r="F8" s="7" t="inlineStr">
        <is>
          <t>У GUI-20: «Картки каталогу розміщуються сіткою у три колонки по 9 карток на сторінці; картка містить зображення, назву, шкалу класу CO2 і ціну; для відсутнього товару поверх зображення виводиться позначка «Out of stock».»</t>
        </is>
      </c>
      <c r="G8" s="7" t="inlineStr">
        <is>
          <t>Горбонос О. (СМ)</t>
        </is>
      </c>
      <c r="I8" s="9" t="inlineStr">
        <is>
          <t>Разом</t>
        </is>
      </c>
      <c r="J8" s="9">
        <f>SUM(J2:J7)</f>
        <v/>
      </c>
    </row>
    <row r="9">
      <c r="A9" s="7" t="n">
        <v>8</v>
      </c>
      <c r="B9" s="7" t="inlineStr">
        <is>
          <t>2.2 ↔ розд. 6 (вимога про 375 px, без ID)</t>
        </is>
      </c>
      <c r="C9" s="7" t="inlineStr">
        <is>
          <t>Несуперечливість</t>
        </is>
      </c>
      <c r="D9" s="7" t="inlineStr">
        <is>
          <t>п. 2 (вимоги не суперечать одна одній). 2.2 задає мінімальне вікно 1280×800, а вимога розділу 6 — коректний вигляд за ширини 375 px. Відсутній ID у вимозі розділу 6 — окремий дефект простежуваності, у цей рядок не входить.</t>
        </is>
      </c>
      <c r="E9" s="7" t="inlineStr">
        <is>
          <t>2.2: «мінімальна роздільна здатність вікна 1280×800». Розд. 6: «Інтерфейс коректно відображається за ширини вікна 375 пікселів».</t>
        </is>
      </c>
      <c r="F9" s="7" t="inlineStr">
        <is>
          <t>У 2.2: «Підтримувані браузери: Chrome 120 і новіші, Firefox 115 і новіші на настільних операційних системах; підтримувані розміри вікна — від 375 пікселів у ширину (мобільний вигляд інтерфейсу) і більше, основний настільний розмір — 1280×800.» (Мінімальну ширину 375 px узято з розділу 6 — потребує підтвердження замовником.)</t>
        </is>
      </c>
      <c r="G9" s="7" t="inlineStr">
        <is>
          <t>Горбонос О. (СМ)</t>
        </is>
      </c>
    </row>
    <row r="10">
      <c r="A10" s="7" t="n">
        <v>9</v>
      </c>
      <c r="B10" s="7" t="inlineStr">
        <is>
          <t>F-30</t>
        </is>
      </c>
      <c r="C10" s="7" t="inlineStr">
        <is>
          <t>Здійсненність</t>
        </is>
      </c>
      <c r="D10" s="7" t="inlineStr">
        <is>
          <t>Єдиний пункт чек-листа: вимога здійсненна з погляду ресурсів і не залежить від систем, які продукт не контролює. Доставка до скриньки залежить від поштового провайдера одержувача.</t>
        </is>
      </c>
      <c r="E10" s="7" t="inlineStr">
        <is>
          <t>«гарантує його доставку до поштової скриньки користувача не довше ніж за 1 секунду незалежно від поштового провайдера одержувача».</t>
        </is>
      </c>
      <c r="F10" s="7" t="inlineStr">
        <is>
          <t>«Після надсилання форми система формує лист із посиланням для встановлення нового пароля і передає його поштовому сервісу не довше ніж за 1 секунду; час доставки до скриньки залежить від поштового провайдера одержувача і не гарантується.»</t>
        </is>
      </c>
      <c r="G10" s="7" t="inlineStr">
        <is>
          <t>Горбонос О. (СМ)</t>
        </is>
      </c>
      <c r="I10" s="10" t="inlineStr">
        <is>
          <t>Розділи 1–2 і 3. Простежуваність: у цих розділах дефектів немає (ID F-10…F-140 унікальні, крок 10); дефекти ID — у розділах 4–6.</t>
        </is>
      </c>
    </row>
    <row r="11">
      <c r="A11" s="7" t="n">
        <v>10</v>
      </c>
      <c r="B11" s="7" t="inlineStr">
        <is>
          <t>F-90</t>
        </is>
      </c>
      <c r="C11" s="7" t="inlineStr">
        <is>
          <t>Тестопридатність</t>
        </is>
      </c>
      <c r="D11" s="7" t="inlineStr">
        <is>
          <t>Практичний тест: немає критерію «пройдено / не пройдено». Слова-маркери «миттєво» (немає числа) і «без помилок» (не задано, що спостерігати).</t>
        </is>
      </c>
      <c r="E11" s="7" t="inlineStr">
        <is>
          <t>«Натискання «Add to cart» додає товар у кошик у вказаній кількості миттєво і без помилок».</t>
        </is>
      </c>
      <c r="F11" s="7" t="inlineStr">
        <is>
          <t>«Натискання «Add to cart» не довше ніж за 1 с додає товар у кошик у вказаній кількості (позиція з'являється на кроці «Cart»), повідомлення про помилку не виводиться; повторне додавання того самого товару збільшує його кількість у кошику.» (Значення 1 с — потребує підтвердження замовником.)</t>
        </is>
      </c>
      <c r="G11" s="7" t="inlineStr">
        <is>
          <t>Горбонос О. (СМ)</t>
        </is>
      </c>
    </row>
    <row r="12"/>
    <row r="13"/>
    <row r="14"/>
  </sheetData>
  <mergeCells count="1">
    <mergeCell ref="I10:J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30" customWidth="1" min="4" max="4"/>
    <col width="60" customWidth="1" min="5" max="5"/>
    <col width="55" customWidth="1" min="6" max="6"/>
    <col width="16" customWidth="1" min="7" max="7"/>
    <col width="34" customWidth="1" min="8" max="8"/>
    <col width="3" customWidth="1" min="9" max="9"/>
    <col width="18" customWidth="1" min="10" max="10"/>
    <col width="8" customWidth="1" min="11" max="11"/>
  </cols>
  <sheetData>
    <row r="1">
      <c r="A1" s="1" t="inlineStr">
        <is>
          <t>№</t>
        </is>
      </c>
      <c r="B1" s="1" t="inlineStr">
        <is>
          <t>ID/локатор</t>
        </is>
      </c>
      <c r="C1" s="1" t="inlineStr">
        <is>
          <t>Критерій</t>
        </is>
      </c>
      <c r="D1" s="1" t="inlineStr">
        <is>
          <t>Пункт чек-листа</t>
        </is>
      </c>
      <c r="E1" s="1" t="inlineStr">
        <is>
          <t>Цитата</t>
        </is>
      </c>
      <c r="F1" s="1" t="inlineStr">
        <is>
          <t>Виправлення</t>
        </is>
      </c>
      <c r="G1" s="1" t="inlineStr">
        <is>
          <t>Хто знайшов</t>
        </is>
      </c>
      <c r="H1" s="1" t="inlineStr">
        <is>
          <t>Примітка</t>
        </is>
      </c>
      <c r="J1" s="11" t="inlineStr">
        <is>
          <t>Критерій</t>
        </is>
      </c>
      <c r="K1" s="11" t="inlineStr">
        <is>
          <t>Рядків</t>
        </is>
      </c>
    </row>
    <row r="2">
      <c r="A2" s="12" t="n">
        <v>1</v>
      </c>
      <c r="B2" s="12" t="inlineStr">
        <is>
          <t>розд. 2.2 ↔ розд. 6, рядок 7, без ID</t>
        </is>
      </c>
      <c r="C2" s="12" t="inlineStr">
        <is>
          <t>Несуперечливість</t>
        </is>
      </c>
      <c r="D2" s="12" t="inlineStr">
        <is>
          <t>п. 2 — вимоги не суперечать одна одній</t>
        </is>
      </c>
      <c r="E2" s="12" t="inlineStr">
        <is>
          <t>«Підтримувані браузери: Chrome 120 і новіші, Firefox 115 і новіші на настільних операційних системах; мінімальна роздільна здатність вікна 1280×800» (2.2) суперечить «Інтерфейс коректно відображається за ширини вікна 375 пікселів … кнопками, придатними для натискання пальцем (не менше 44×44 пікселі)» (розд. 6). 2.2 обмежує продукт настільними ОС і шириною від 1280 пікселів, а розд. 6 вимагає мобільної ширини 375 пікселів і сенсорного керування.</t>
        </is>
      </c>
      <c r="F2" s="12" t="inlineStr">
        <is>
          <t>2.2: «Підтримувані браузери: Chrome 120 і новіші, Firefox 115 і новіші на настільних операційних системах, Chrome для Android 120 і новіші, Safari для iOS 17 і новіші; мінімальна ширина вікна — 375 пікселів.»</t>
        </is>
      </c>
      <c r="G2" s="12" t="inlineStr">
        <is>
          <t>Коротка К. (КТ)</t>
        </is>
      </c>
      <c r="H2" s="12" t="inlineStr">
        <is>
          <t>Версії мобільних браузерів — потребує підтвердження замовником. Пов'язано з рядком 14.</t>
        </is>
      </c>
      <c r="J2" t="inlineStr">
        <is>
          <t>Однозначність</t>
        </is>
      </c>
      <c r="K2">
        <f>COUNTIF($C$2:$C$19,J2)</f>
        <v/>
      </c>
    </row>
    <row r="3">
      <c r="A3" s="12" t="n">
        <v>2</v>
      </c>
      <c r="B3" s="12" t="inlineStr">
        <is>
          <t>GUI-10</t>
        </is>
      </c>
      <c r="C3" s="12" t="inlineStr">
        <is>
          <t>Повнота</t>
        </is>
      </c>
      <c r="D3" s="12" t="inlineStr">
        <is>
          <t>п. 1 — вимога містить повну інформацію</t>
        </is>
      </c>
      <c r="E3" s="12" t="inlineStr">
        <is>
          <t>«…«Sign in» та перемикач мови інтерфейсу» — не вказано, які мови доступні і яка мова за замовчуванням (у 2.2: «Інтерфейс demo — англійською мовою»).</t>
        </is>
      </c>
      <c r="F3" s="12" t="inlineStr">
        <is>
          <t>«…«Sign in» та перемикач мови інтерфейсу з варіантами DE, EL, EN, ES, FR, NL, TR; мова за замовчуванням — EN.»</t>
        </is>
      </c>
      <c r="G3" s="12" t="inlineStr">
        <is>
          <t>Коротка К. (КТ)</t>
        </is>
      </c>
      <c r="H3" s="12" t="inlineStr">
        <is>
          <t>Перелік мов звірено з demo 01.10.2026. Середня впевненість.</t>
        </is>
      </c>
      <c r="J3" t="inlineStr">
        <is>
          <t>Повнота</t>
        </is>
      </c>
      <c r="K3">
        <f>COUNTIF($C$2:$C$19,J3)</f>
        <v/>
      </c>
    </row>
    <row r="4">
      <c r="A4" s="12" t="n">
        <v>3</v>
      </c>
      <c r="B4" s="12" t="inlineStr">
        <is>
          <t>GUI-20 ↔ F-40</t>
        </is>
      </c>
      <c r="C4" s="12" t="inlineStr">
        <is>
          <t>Несуперечливість</t>
        </is>
      </c>
      <c r="D4" s="12" t="inlineStr">
        <is>
          <t>п. 2 — вимоги не суперечать одна одній</t>
        </is>
      </c>
      <c r="E4" s="12" t="inlineStr">
        <is>
          <t>«Картки каталогу розміщуються сіткою у три колонки по 12 карток на сторінці» (GUI-20) суперечить «по 9 карток на сторінці» (F-40).</t>
        </is>
      </c>
      <c r="F4" s="12" t="inlineStr">
        <is>
          <t>GUI-20: «Картки каталогу розміщуються сіткою у три колонки по 9 карток на сторінці (три ряди); …» (решта без змін).</t>
        </is>
      </c>
      <c r="G4" s="12" t="inlineStr">
        <is>
          <t>Коротка К. (КТ)</t>
        </is>
      </c>
      <c r="H4" s="12" t="inlineStr">
        <is>
          <t>9 карток — як у F-40 і в demo (перевірено 01.10.2026).</t>
        </is>
      </c>
      <c r="J4" t="inlineStr">
        <is>
          <t>Несуперечливість</t>
        </is>
      </c>
      <c r="K4">
        <f>COUNTIF($C$2:$C$19,J4)</f>
        <v/>
      </c>
    </row>
    <row r="5">
      <c r="A5" s="12" t="n">
        <v>4</v>
      </c>
      <c r="B5" s="12" t="inlineStr">
        <is>
          <t>GUI-30 ↔ BL-10, BL-40</t>
        </is>
      </c>
      <c r="C5" s="12" t="inlineStr">
        <is>
          <t>Несуперечливість</t>
        </is>
      </c>
      <c r="D5" s="12" t="inlineStr">
        <is>
          <t>п. 2 — вимоги не суперечать одна одній</t>
        </is>
      </c>
      <c r="E5" s="12" t="inlineStr">
        <is>
          <t>«приймає значення від 0 до 100» (GUI-30) суперечить «qty — ціле число від 1 до 99 включно» (BL-10) і «встановлює нову кількість від 1 до 99 включно» (BL-40): інтерфейс дозволяє 0 і 100, які модуль відхиляє.</t>
        </is>
      </c>
      <c r="F5" s="12" t="inlineStr">
        <is>
          <t>GUI-30: «Поле «Quantity» на сторінці товару — числове, з кнопками «−» і «+» ліворуч і праворуч; приймає цілі значення від 1 до 99 включно; значення за замовчуванням — 1.»</t>
        </is>
      </c>
      <c r="G5" s="12" t="inlineStr">
        <is>
          <t>Коротка К. (КТ)</t>
        </is>
      </c>
      <c r="H5" s="12" t="n"/>
      <c r="J5" t="inlineStr">
        <is>
          <t>Простежуваність</t>
        </is>
      </c>
      <c r="K5">
        <f>COUNTIF($C$2:$C$19,J5)</f>
        <v/>
      </c>
    </row>
    <row r="6">
      <c r="A6" s="12" t="n">
        <v>5</v>
      </c>
      <c r="B6" s="12" t="inlineStr">
        <is>
          <t>F-120 ↔ GUI-40</t>
        </is>
      </c>
      <c r="C6" s="12" t="inlineStr">
        <is>
          <t>Несуперечливість</t>
        </is>
      </c>
      <c r="D6" s="12" t="inlineStr">
        <is>
          <t>п. 2 — вимоги не суперечать одна одній</t>
        </is>
      </c>
      <c r="E6" s="12" t="inlineStr">
        <is>
          <t>«Покупець може додати товар до списку обраного кнопкою «Add to favourites» без входу в систему» (F-120) суперечить GUI-40: «якщо покупець не увійшов у систему, після натискання виводиться повідомлення «Unauthorized, can not add product to your favorite list», і товар до обраного не додається»; також 1.3 («Список товарів, збережених зареєстрованим покупцем») і 2.1 (обране — лише зареєстрованому покупцю).</t>
        </is>
      </c>
      <c r="F6" s="12" t="inlineStr">
        <is>
          <t>F-120: «Зареєстрований покупець, який увійшов у систему, додає товар до списку обраного кнопкою «Add to favourites»; для неавторизованого користувача діє GUI-40. Список обраного доступний у кабінеті («My favorites»), де позицію можна видалити.»</t>
        </is>
      </c>
      <c r="G6" s="12" t="inlineStr">
        <is>
          <t>Коротка К. (КТ)</t>
        </is>
      </c>
      <c r="H6" s="12" t="inlineStr">
        <is>
          <t>крос — виправлення в F-120 (розд. 3); виявлено звіркою GUI-40 ↔ F-120.</t>
        </is>
      </c>
      <c r="J6" t="inlineStr">
        <is>
          <t>Здійсненність</t>
        </is>
      </c>
      <c r="K6">
        <f>COUNTIF($C$2:$C$19,J6)</f>
        <v/>
      </c>
    </row>
    <row r="7">
      <c r="A7" s="12" t="n">
        <v>6</v>
      </c>
      <c r="B7" s="12" t="inlineStr">
        <is>
          <t>GUI-50</t>
        </is>
      </c>
      <c r="C7" s="12" t="inlineStr">
        <is>
          <t>Однозначність</t>
        </is>
      </c>
      <c r="D7" s="12" t="inlineStr">
        <is>
          <t>п. 4 — вимога допускає єдину інтерпретацію</t>
        </is>
      </c>
      <c r="E7" s="12" t="inlineStr">
        <is>
          <t>«відображається біля відповідного поля або у верхній частині форми» — «або» дає два допустимі місця; очікуваний результат тест-кейсу неоднозначний, різні форми можуть поводитися по-різному.</t>
        </is>
      </c>
      <c r="F7" s="12" t="inlineStr">
        <is>
          <t>«Повідомлення про помилку валідації поля форми відображається текстом безпосередньо під відповідним полем; форма, що містить помилки, не надсилається.»</t>
        </is>
      </c>
      <c r="G7" s="12" t="inlineStr">
        <is>
          <t>Коротка К. (КТ)</t>
        </is>
      </c>
      <c r="H7" s="12" t="inlineStr">
        <is>
          <t>Місце виводу — потребує підтвердження замовником. Середня впевненість.</t>
        </is>
      </c>
      <c r="J7" t="inlineStr">
        <is>
          <t>Тестопридатність</t>
        </is>
      </c>
      <c r="K7">
        <f>COUNTIF($C$2:$C$19,J7)</f>
        <v/>
      </c>
    </row>
    <row r="8">
      <c r="A8" s="12" t="n">
        <v>7</v>
      </c>
      <c r="B8" s="12" t="inlineStr">
        <is>
          <t>GUI-60 (два рядки)</t>
        </is>
      </c>
      <c r="C8" s="12" t="inlineStr">
        <is>
          <t>Простежуваність</t>
        </is>
      </c>
      <c r="D8" s="12" t="inlineStr">
        <is>
          <t>п. 2 — усі вимоги мають унікальний ідентифікатор</t>
        </is>
      </c>
      <c r="E8" s="12" t="inlineStr">
        <is>
          <t>Дві різні вимоги мають однаковий ID: «GUI-60 Форма входу містить поля «Email address» та «Password»…» і «GUI-60 Форма реєстрації містить поля у такому порядку…».</t>
        </is>
      </c>
      <c r="F8" s="12" t="inlineStr">
        <is>
          <t>Залишити GUI-60 за формою входу; формі реєстрації присвоїти вільний проміжний ID GUI-65 (між GUI-60 і GUI-70); решту ID не змінювати.</t>
        </is>
      </c>
      <c r="G8" s="12" t="inlineStr">
        <is>
          <t>Коротка К. (КТ)</t>
        </is>
      </c>
      <c r="H8" s="12" t="n"/>
      <c r="J8" s="11" t="inlineStr">
        <is>
          <t>Разом</t>
        </is>
      </c>
      <c r="K8" s="11">
        <f>SUM(K2:K7)</f>
        <v/>
      </c>
    </row>
    <row r="9">
      <c r="A9" s="12" t="n">
        <v>8</v>
      </c>
      <c r="B9" s="12" t="inlineStr">
        <is>
          <t>GUI-70</t>
        </is>
      </c>
      <c r="C9" s="12" t="inlineStr">
        <is>
          <t>Однозначність</t>
        </is>
      </c>
      <c r="D9" s="12" t="inlineStr">
        <is>
          <t>п. 1, 4 — вимога має одне значення й допускає єдину інтерпретацію</t>
        </is>
      </c>
      <c r="E9" s="12" t="inlineStr">
        <is>
          <t>«Порожній кошик відображає текстове повідомлення замість таблиці» — не вказано, яке саме повідомлення; тест-кейс не має очікуваного результату.</t>
        </is>
      </c>
      <c r="F9" s="12" t="inlineStr">
        <is>
          <t>«Порожній кошик відображає замість таблиці текст «The cart is empty».»</t>
        </is>
      </c>
      <c r="G9" s="12" t="inlineStr">
        <is>
          <t>Коротка К. (КТ)</t>
        </is>
      </c>
      <c r="H9" s="12" t="inlineStr">
        <is>
          <t>Текст повідомлення — потребує підтвердження замовником. Середня впевненість.</t>
        </is>
      </c>
    </row>
    <row r="10">
      <c r="A10" s="12" t="n">
        <v>9</v>
      </c>
      <c r="B10" s="12" t="inlineStr">
        <is>
          <t>GUI-80</t>
        </is>
      </c>
      <c r="C10" s="12" t="inlineStr">
        <is>
          <t>Здійсненність</t>
        </is>
      </c>
      <c r="D10" s="12" t="inlineStr">
        <is>
          <t>єдиний пункт — технічні ресурси; залежність від систем, які продукт не контролює</t>
        </is>
      </c>
      <c r="E10" s="12" t="inlineStr">
        <is>
          <t>«…у роздільній здатності не менше 8K (7680×4320 пікселів) без стиснення і завантажуються не довше ніж за 50 мс кожне за будь-якого з'єднання з Інтернетом» — нестиснене 8K-зображення ≈ 100 МБ; завантаження за 50 мс потребує ≈ 16 Гбіт/с, а швидкість з'єднання користувача продукт не контролює.</t>
        </is>
      </c>
      <c r="F10" s="12" t="inlineStr">
        <is>
          <t>«Зображення товару на сторінці товару мають роздільну здатність не менше 1200×1200 пікселів, на картках каталогу — не менше 400×400 пікселів; за з'єднання 10 Мбіт/с зображення картки завантажується не довше ніж за 1 с.»</t>
        </is>
      </c>
      <c r="G10" s="12" t="inlineStr">
        <is>
          <t>Коротка К. (КТ)</t>
        </is>
      </c>
      <c r="H10" s="12" t="inlineStr">
        <is>
          <t>Значення — потребує підтвердження замовником.</t>
        </is>
      </c>
    </row>
    <row r="11">
      <c r="A11" s="12" t="n">
        <v>10</v>
      </c>
      <c r="B11" s="12" t="inlineStr">
        <is>
          <t>GUI-100</t>
        </is>
      </c>
      <c r="C11" s="12" t="inlineStr">
        <is>
          <t>Тестопридатність</t>
        </is>
      </c>
      <c r="D11" s="12" t="inlineStr">
        <is>
          <t>немає критерію «пройдено / не пройдено»; слова-маркери</t>
        </is>
      </c>
      <c r="E11" s="12" t="inlineStr">
        <is>
          <t>«Кольорова схема інтерфейсу є приємною і сучасною, а шрифти — легкими для читання на всіх сторінках» — «приємною», «сучасною», «легкими для читання» неможливо перевірити однозначно.</t>
        </is>
      </c>
      <c r="F11" s="12" t="inlineStr">
        <is>
          <t>«На всіх сторінках контраст основного тексту до фону — не менше 4,5:1, розмір шрифту основного тексту — не менше 14 пікселів.»</t>
        </is>
      </c>
      <c r="G11" s="12" t="inlineStr">
        <is>
          <t>Коротка К. (КТ)</t>
        </is>
      </c>
      <c r="H11" s="12" t="inlineStr">
        <is>
          <t>Значення — потребує підтвердження замовником.</t>
        </is>
      </c>
    </row>
    <row r="12">
      <c r="A12" s="12" t="n">
        <v>11</v>
      </c>
      <c r="B12" s="12" t="inlineStr">
        <is>
          <t>P-10</t>
        </is>
      </c>
      <c r="C12" s="12" t="inlineStr">
        <is>
          <t>Здійсненність</t>
        </is>
      </c>
      <c r="D12" s="12" t="inlineStr">
        <is>
          <t>єдиний пункт — залежність від систем, які продукт не контролює</t>
        </is>
      </c>
      <c r="E12" s="12" t="inlineStr">
        <is>
          <t>«…повністю завантажується не довше ніж за 0,1 с за будь-якого з'єднання з Інтернетом і на будь-якому пристрої» — час залежить від з'єднання й пристрою користувача; до того ж P-20 дозволяє відповідь API каталогу до 1 с, тож сторінка з даними API не завантажиться за 0,1 с.</t>
        </is>
      </c>
      <c r="F12" s="12" t="inlineStr">
        <is>
          <t>«Сторінка каталогу повністю завантажується не довше ніж за 3 с у 95 % вимірювань у Chrome 120 на настільному комп'ютері за з'єднання 10 Мбіт/с (20 вимірювань інструментом Lighthouse).»</t>
        </is>
      </c>
      <c r="G12" s="12" t="inlineStr">
        <is>
          <t>Коротка К. (КТ)</t>
        </is>
      </c>
      <c r="H12" s="12" t="inlineStr">
        <is>
          <t>Значення — потребує підтвердження замовником.</t>
        </is>
      </c>
    </row>
    <row r="13">
      <c r="A13" s="12" t="n">
        <v>12</v>
      </c>
      <c r="B13" s="12" t="inlineStr">
        <is>
          <t>S-10</t>
        </is>
      </c>
      <c r="C13" s="12" t="inlineStr">
        <is>
          <t>Тестопридатність</t>
        </is>
      </c>
      <c r="D13" s="12" t="inlineStr">
        <is>
          <t>немає критерію «пройдено / не пройдено»; слово-маркер «надійно»</t>
        </is>
      </c>
      <c r="E13" s="12" t="inlineStr">
        <is>
          <t>«Дані покупців надійно захищені, а система не містить вразливостей» — що спостерігати, невідомо; відсутність вразливостей неможливо довести тестом.</t>
        </is>
      </c>
      <c r="F13" s="12" t="inlineStr">
        <is>
          <t>«Паролі покупців зберігаються лише у вигляді хешу bcrypt; сторінки й API доступні лише через HTTPS (запит по HTTP перенаправляється на HTTPS); запит до даних покупця Б з токеном покупця А повертає код 403.»</t>
        </is>
      </c>
      <c r="G13" s="12" t="inlineStr">
        <is>
          <t>Коротка К. (КТ)</t>
        </is>
      </c>
      <c r="H13" s="12" t="inlineStr">
        <is>
          <t>Перелік заходів — потребує підтвердження замовником. «Не містить вразливостей» порушує й здійсненність, але головний критерій — тестопридатність.</t>
        </is>
      </c>
    </row>
    <row r="14">
      <c r="A14" s="12" t="n">
        <v>13</v>
      </c>
      <c r="B14" s="12" t="inlineStr">
        <is>
          <t>U-10</t>
        </is>
      </c>
      <c r="C14" s="12" t="inlineStr">
        <is>
          <t>Тестопридатність</t>
        </is>
      </c>
      <c r="D14" s="12" t="inlineStr">
        <is>
          <t>немає критерію «пройдено / не пройдено»; слова-маркери «інтуїтивно», «зручно»</t>
        </is>
      </c>
      <c r="E14" s="12" t="inlineStr">
        <is>
          <t>«Інтерфейс є інтуїтивно зрозумілим і зручним для всіх категорій користувачів».</t>
        </is>
      </c>
      <c r="F14" s="12" t="inlineStr">
        <is>
          <t>«Новий користувач без інструкції знаходить товар пошуком, додає його в кошик і доходить до кроку «Payment» не довше ніж за 3 хв і не більше ніж з однією помилкою; перевірка на 5 учасниках, критерій — 4 з 5.»</t>
        </is>
      </c>
      <c r="G14" s="12" t="inlineStr">
        <is>
          <t>Коротка К. (КТ)</t>
        </is>
      </c>
      <c r="H14" s="12" t="inlineStr">
        <is>
          <t>Значення — потребує підтвердження замовником.</t>
        </is>
      </c>
    </row>
    <row r="15">
      <c r="A15" s="12" t="n">
        <v>14</v>
      </c>
      <c r="B15" s="12" t="inlineStr">
        <is>
          <t>розд. 6, рядок 7 (між U-20 і D-10), без ID</t>
        </is>
      </c>
      <c r="C15" s="12" t="inlineStr">
        <is>
          <t>Простежуваність</t>
        </is>
      </c>
      <c r="D15" s="12" t="inlineStr">
        <is>
          <t>п. 2 — усі вимоги мають унікальний ідентифікатор</t>
        </is>
      </c>
      <c r="E15" s="12" t="inlineStr">
        <is>
          <t>«Інтерфейс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пікселі)» — рядок вимоги без ідентифікатора.</t>
        </is>
      </c>
      <c r="F15" s="12" t="inlineStr">
        <is>
          <t>Присвоїти вільний ID U-30 (наступний у групі U, крок 10).</t>
        </is>
      </c>
      <c r="G15" s="12" t="inlineStr">
        <is>
          <t>Коротка К. (КТ)</t>
        </is>
      </c>
      <c r="H15" s="12" t="inlineStr">
        <is>
          <t>Зміст рядка суперечить 2.2 — див. рядок 1.</t>
        </is>
      </c>
    </row>
    <row r="16">
      <c r="A16" s="12" t="n">
        <v>15</v>
      </c>
      <c r="B16" s="12" t="inlineStr">
        <is>
          <t>D-10</t>
        </is>
      </c>
      <c r="C16" s="12" t="inlineStr">
        <is>
          <t>Повнота</t>
        </is>
      </c>
      <c r="D16" s="12" t="inlineStr">
        <is>
          <t>п. 3 — немає посилань на неіснуючі документи</t>
        </is>
      </c>
      <c r="E16" s="12" t="inlineStr">
        <is>
          <t>«розділ про програму лояльності укладено згідно з «Регламентом програми лояльності ШопЛайн-ЛП-2025», розділ 4» — цього документа немає в 1.4 «Посилання».</t>
        </is>
      </c>
      <c r="F16" s="12" t="inlineStr">
        <is>
          <t>«…розділ про програму лояльності описує правила BL-50 – BL-80 цієї специфікації (знижка за обсяг, вартість доставки, промокоди).»</t>
        </is>
      </c>
      <c r="G16" s="12" t="inlineStr">
        <is>
          <t>Коротка К. (КТ)</t>
        </is>
      </c>
      <c r="H16" s="12" t="inlineStr">
        <is>
          <t>Якщо регламент існує — додати його до 1.4 (потребує підтвердження замовником).</t>
        </is>
      </c>
    </row>
    <row r="17">
      <c r="A17" s="12" t="n">
        <v>16</v>
      </c>
      <c r="B17" s="12" t="inlineStr">
        <is>
          <t>F-110 ↔ BL-60</t>
        </is>
      </c>
      <c r="C17" s="12" t="inlineStr">
        <is>
          <t>Несуперечливість</t>
        </is>
      </c>
      <c r="D17" s="12" t="inlineStr">
        <is>
          <t>п. 2 — вимоги не суперечать одна одній</t>
        </is>
      </c>
      <c r="E17" s="12" t="inlineStr">
        <is>
          <t>«вартість доставки: 120 грн, а для замовлень від 2000 грн доставка безкоштовна» (F-110) суперечить «0.00 грн, якщо сума після знижки не менша за 1500 грн; інакше 120.00 грн» (BL-60): різний поріг (2000 / 1500) і різна база (сума замовлення / сума після знижки).</t>
        </is>
      </c>
      <c r="F17" s="12" t="inlineStr">
        <is>
          <t>F-110: «…знижку за промокодом і вартість доставки, обчислену за BL-60.»</t>
        </is>
      </c>
      <c r="G17" s="12" t="inlineStr">
        <is>
          <t>Коротка К. (КТ)</t>
        </is>
      </c>
      <c r="H17" s="12" t="inlineStr">
        <is>
          <t>крос (розд. 3, 5). Правильний поріг — потребує підтвердження замовником.</t>
        </is>
      </c>
    </row>
    <row r="18">
      <c r="A18" s="12" t="n">
        <v>17</v>
      </c>
      <c r="B18" s="12" t="inlineStr">
        <is>
          <t>F-100</t>
        </is>
      </c>
      <c r="C18" s="12" t="inlineStr">
        <is>
          <t>Повнота</t>
        </is>
      </c>
      <c r="D18" s="12" t="inlineStr">
        <is>
          <t>п. 3 (і п. 1) — немає посилань на неіснуюче</t>
        </is>
      </c>
      <c r="E18" s="12" t="inlineStr">
        <is>
          <t>«Обмеження на кількість одиниць у рядку визначає вимога BL-25» — вимоги BL-25 у специфікації немає.</t>
        </is>
      </c>
      <c r="F18" s="12" t="inlineStr">
        <is>
          <t>«Обмеження на кількість одиниць у рядку (від 1 до 99) визначають вимоги BL-10, BL-20 і BL-40.»</t>
        </is>
      </c>
      <c r="G18" s="12" t="inlineStr">
        <is>
          <t>Коротка К. (КТ)</t>
        </is>
      </c>
      <c r="H18" s="12" t="inlineStr">
        <is>
          <t>крос (розд. 3).</t>
        </is>
      </c>
    </row>
    <row r="19">
      <c r="A19" s="12" t="n">
        <v>18</v>
      </c>
      <c r="B19" s="12" t="inlineStr">
        <is>
          <t>BL-30 ↔ BL-20</t>
        </is>
      </c>
      <c r="C19" s="12" t="inlineStr">
        <is>
          <t>Простежуваність</t>
        </is>
      </c>
      <c r="D19" s="12" t="inlineStr">
        <is>
          <t>п. 1, 5 — вимоги унікальні й не перекриваються за змістом</t>
        </is>
      </c>
      <c r="E19" s="12" t="inlineStr">
        <is>
          <t>BL-30 «Якщо в кошику вже є товар із таким самим артикулом, система не додає окремий рядок, а збільшує кількість у наявному рядку на вказане значення» повторює BL-20 «Повторне додавання позиції з тим самим sku не створює новий рядок, а збільшує кількість наявного рядка на qty».</t>
        </is>
      </c>
      <c r="F19" s="12" t="inlineStr">
        <is>
          <t>Залишити BL-20; BL-30 вилучити із записом у журналі змін (номер не перевикористовувати), посилання на BL-30 замінити на BL-20.</t>
        </is>
      </c>
      <c r="G19" s="12" t="inlineStr">
        <is>
          <t>Коротка К. (КТ)</t>
        </is>
      </c>
      <c r="H19" s="12" t="inlineStr">
        <is>
          <t>крос (розд. 5).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30" customWidth="1" min="4" max="4"/>
    <col width="60" customWidth="1" min="5" max="5"/>
    <col width="55" customWidth="1" min="6" max="6"/>
    <col width="16" customWidth="1" min="7" max="7"/>
    <col width="34" customWidth="1" min="8" max="8"/>
    <col width="3" customWidth="1" min="9" max="9"/>
    <col width="18" customWidth="1" min="10" max="10"/>
    <col width="8" customWidth="1" min="11" max="11"/>
  </cols>
  <sheetData>
    <row r="1">
      <c r="A1" s="1" t="inlineStr">
        <is>
          <t>№</t>
        </is>
      </c>
      <c r="B1" s="1" t="inlineStr">
        <is>
          <t>ID/локатор</t>
        </is>
      </c>
      <c r="C1" s="1" t="inlineStr">
        <is>
          <t>Критерій</t>
        </is>
      </c>
      <c r="D1" s="1" t="inlineStr">
        <is>
          <t>Пункт чек-листа</t>
        </is>
      </c>
      <c r="E1" s="1" t="inlineStr">
        <is>
          <t>Цитата</t>
        </is>
      </c>
      <c r="F1" s="1" t="inlineStr">
        <is>
          <t>Виправлення</t>
        </is>
      </c>
      <c r="G1" s="1" t="inlineStr">
        <is>
          <t>Хто знайшов</t>
        </is>
      </c>
      <c r="H1" s="1" t="inlineStr">
        <is>
          <t>Примітка</t>
        </is>
      </c>
      <c r="J1" s="11" t="inlineStr">
        <is>
          <t>Критерій</t>
        </is>
      </c>
      <c r="K1" s="11" t="inlineStr">
        <is>
          <t>Рядків</t>
        </is>
      </c>
    </row>
    <row r="2">
      <c r="A2" s="12" t="n">
        <v>1</v>
      </c>
      <c r="B2" s="12" t="inlineStr">
        <is>
          <t>F-10</t>
        </is>
      </c>
      <c r="C2" s="12" t="inlineStr">
        <is>
          <t>Повнота</t>
        </is>
      </c>
      <c r="D2" s="12" t="inlineStr">
        <is>
          <t>п. 1 — вимога містить повну інформацію</t>
        </is>
      </c>
      <c r="E2" s="12" t="inlineStr">
        <is>
          <t>«обов'язковість полів позначено у формі зірочкою» — вимога не називає, які саме поля обов'язкові; тест-кейс для незаповненого поля неможливо скласти.</t>
        </is>
      </c>
      <c r="F2" s="12" t="inlineStr">
        <is>
          <t>«… Обов'язкові поля: ім'я, прізвище, дата народження, країна, поштовий індекс, номер будинку, вулиця, місто, телефон, адреса електронної пошти, пароль; поле «область (штат)» необов'язкове; обов'язкові поля позначено у формі зірочкою.»</t>
        </is>
      </c>
      <c r="G2" s="12" t="inlineStr">
        <is>
          <t>Тимчак А. (ТА)</t>
        </is>
      </c>
      <c r="H2" s="12" t="inlineStr">
        <is>
          <t>Потребує підтвердження замовником.</t>
        </is>
      </c>
      <c r="J2" t="inlineStr">
        <is>
          <t>Однозначність</t>
        </is>
      </c>
      <c r="K2">
        <f>COUNTIF($C$2:$C$25,J2)</f>
        <v/>
      </c>
    </row>
    <row r="3">
      <c r="A3" s="12" t="n">
        <v>2</v>
      </c>
      <c r="B3" s="12" t="inlineStr">
        <is>
          <t>F-10</t>
        </is>
      </c>
      <c r="C3" s="12" t="inlineStr">
        <is>
          <t>Повнота</t>
        </is>
      </c>
      <c r="D3" s="12" t="inlineStr">
        <is>
          <t>п. 5 — описано реакції на помилки та виняткові ситуації</t>
        </is>
      </c>
      <c r="E3" s="12" t="inlineStr">
        <is>
          <t>«Після успішної реєстрації система створює обліковий запис покупця і переходить на сторінку входу» — не описано реакцію на вже зареєстровану адресу електронної пошти.</t>
        </is>
      </c>
      <c r="F3" s="12" t="inlineStr">
        <is>
          <t>Додати до F-10: «Якщо адреса електронної пошти вже зареєстрована, обліковий запис не створюється, і система показує повідомлення «A customer with this email address already exists.»»</t>
        </is>
      </c>
      <c r="G3" s="12" t="inlineStr">
        <is>
          <t>Тимчак А. (ТА)</t>
        </is>
      </c>
      <c r="H3" s="12" t="inlineStr">
        <is>
          <t>Текст повідомлення — Потребує підтвердження замовником.</t>
        </is>
      </c>
      <c r="J3" t="inlineStr">
        <is>
          <t>Повнота</t>
        </is>
      </c>
      <c r="K3">
        <f>COUNTIF($C$2:$C$25,J3)</f>
        <v/>
      </c>
    </row>
    <row r="4">
      <c r="A4" s="12" t="n">
        <v>3</v>
      </c>
      <c r="B4" s="12" t="inlineStr">
        <is>
          <t>F-20</t>
        </is>
      </c>
      <c r="C4" s="12" t="inlineStr">
        <is>
          <t>Однозначність</t>
        </is>
      </c>
      <c r="D4" s="12" t="inlineStr">
        <is>
          <t>п. 4 — вимога точна і допускає єдину інтерпретацію</t>
        </is>
      </c>
      <c r="E4" s="12" t="inlineStr">
        <is>
          <t>«Після успішного входу система перенаправляє користувача на відповідну сторінку» — «відповідну» не визначено, очікуваний результат тесту неоднозначний.</t>
        </is>
      </c>
      <c r="F4" s="12" t="inlineStr">
        <is>
          <t>«Після успішного входу система перенаправляє покупця на сторінку особистого кабінету (F-130).»</t>
        </is>
      </c>
      <c r="G4" s="12" t="inlineStr">
        <is>
          <t>Тимчак А. (ТА)</t>
        </is>
      </c>
      <c r="H4" s="12" t="inlineStr"/>
      <c r="J4" t="inlineStr">
        <is>
          <t>Несуперечливість</t>
        </is>
      </c>
      <c r="K4">
        <f>COUNTIF($C$2:$C$25,J4)</f>
        <v/>
      </c>
    </row>
    <row r="5">
      <c r="A5" s="12" t="n">
        <v>4</v>
      </c>
      <c r="B5" s="12" t="inlineStr">
        <is>
          <t>F-30</t>
        </is>
      </c>
      <c r="C5" s="12" t="inlineStr">
        <is>
          <t>Здійсненність</t>
        </is>
      </c>
      <c r="D5" s="12" t="inlineStr">
        <is>
          <t>вимоги здійсненні з погляду наявних ресурсів; виконання не залежить від систем, які продукт не контролює</t>
        </is>
      </c>
      <c r="E5" s="12" t="inlineStr">
        <is>
          <t>«гарантує його доставку до поштової скриньки користувача не довше ніж за 1 секунду незалежно від поштового провайдера одержувача» — доставка залежить від сторонніх поштових серверів, які продукт не контролює.</t>
        </is>
      </c>
      <c r="F5" s="12" t="inlineStr">
        <is>
          <t>«Після надсилання форми система формує лист із посиланням для встановлення нового пароля і передає його поштовому серверу ШопЛайн не пізніше ніж за 5 с; час доставки до скриньки одержувача залежить від його поштового провайдера і не гарантується.»</t>
        </is>
      </c>
      <c r="G5" s="12" t="inlineStr">
        <is>
          <t>Тимчак А. (ТА)</t>
        </is>
      </c>
      <c r="H5" s="12" t="inlineStr">
        <is>
          <t>Значення 5 с — Потребує підтвердження замовником.</t>
        </is>
      </c>
      <c r="J5" t="inlineStr">
        <is>
          <t>Простежуваність</t>
        </is>
      </c>
      <c r="K5">
        <f>COUNTIF($C$2:$C$25,J5)</f>
        <v/>
      </c>
    </row>
    <row r="6">
      <c r="A6" s="12" t="n">
        <v>5</v>
      </c>
      <c r="B6" s="12" t="inlineStr">
        <is>
          <t>F-40 ↔ GUI-20</t>
        </is>
      </c>
      <c r="C6" s="12" t="inlineStr">
        <is>
          <t>Несуперечливість</t>
        </is>
      </c>
      <c r="D6" s="12" t="inlineStr">
        <is>
          <t>п. 2 — вимоги не суперечать одна одній</t>
        </is>
      </c>
      <c r="E6" s="12" t="inlineStr">
        <is>
          <t>F-40: «по 9 карток на сторінці»; GUI-20: «у три колонки по 12 карток на сторінці» — різна кількість карток на сторінці.</t>
        </is>
      </c>
      <c r="F6" s="12" t="inlineStr">
        <is>
          <t>GUI-20: «Картки каталогу розміщуються сіткою у три колонки, по 9 карток на сторінці (відповідно до F-40); …»</t>
        </is>
      </c>
      <c r="G6" s="12" t="inlineStr">
        <is>
          <t>Тимчак А. (ТА)</t>
        </is>
      </c>
      <c r="H6" s="12" t="inlineStr">
        <is>
          <t>крос (GUI-20 — розд. 4). Кількість 9 — Потребує підтвердження замовником.</t>
        </is>
      </c>
      <c r="J6" t="inlineStr">
        <is>
          <t>Здійсненність</t>
        </is>
      </c>
      <c r="K6">
        <f>COUNTIF($C$2:$C$25,J6)</f>
        <v/>
      </c>
    </row>
    <row r="7">
      <c r="A7" s="12" t="n">
        <v>6</v>
      </c>
      <c r="B7" s="12" t="inlineStr">
        <is>
          <t>F-50</t>
        </is>
      </c>
      <c r="C7" s="12" t="inlineStr">
        <is>
          <t>Однозначність</t>
        </is>
      </c>
      <c r="D7" s="12" t="inlineStr">
        <is>
          <t>п. 4 — вимога точна і допускає єдину інтерпретацію</t>
        </is>
      </c>
      <c r="E7" s="12" t="inlineStr">
        <is>
          <t>«Кілька фільтрів поєднуються за правилом «І»» — незрозуміло, чи «І» діє між прапорцями одного виду (дві категорії одночасно дадуть порожній список) чи лише між різними видами фільтрів.</t>
        </is>
      </c>
      <c r="F7" s="12" t="inlineStr">
        <is>
          <t>«Фільтри різних видів (категорія, бренд, діапазон ціни, «Eco-Friendly Products») поєднуються за правилом «І»; кілька позначених прапорців одного виду поєднуються за правилом «АБО».»</t>
        </is>
      </c>
      <c r="G7" s="12" t="inlineStr">
        <is>
          <t>Тимчак А. (ТА)</t>
        </is>
      </c>
      <c r="H7" s="12" t="inlineStr">
        <is>
          <t>Потребує підтвердження замовником.</t>
        </is>
      </c>
      <c r="J7" t="inlineStr">
        <is>
          <t>Тестопридатність</t>
        </is>
      </c>
      <c r="K7">
        <f>COUNTIF($C$2:$C$25,J7)</f>
        <v/>
      </c>
    </row>
    <row r="8">
      <c r="A8" s="12" t="n">
        <v>7</v>
      </c>
      <c r="B8" s="12" t="inlineStr">
        <is>
          <t>F-50</t>
        </is>
      </c>
      <c r="C8" s="12" t="inlineStr">
        <is>
          <t>Тестопридатність</t>
        </is>
      </c>
      <c r="D8" s="12" t="inlineStr">
        <is>
          <t>практичний тест: тест-кейс з однозначним результатом «пройдено / не пройдено»</t>
        </is>
      </c>
      <c r="E8" s="12" t="inlineStr">
        <is>
          <t>«система показує текстове повідомлення про відсутність товарів» — текст не задано, тож тест не може однозначно перевірити результат.</t>
        </is>
      </c>
      <c r="F8" s="12" t="inlineStr">
        <is>
          <t>«… список карток порожній, а система показує повідомлення «There are no products found.»»</t>
        </is>
      </c>
      <c r="G8" s="12" t="inlineStr">
        <is>
          <t>Тимчак А. (ТА)</t>
        </is>
      </c>
      <c r="H8" s="12" t="inlineStr">
        <is>
          <t>Текст повідомлення — Потребує підтвердження замовником.</t>
        </is>
      </c>
    </row>
    <row r="9">
      <c r="A9" s="12" t="n">
        <v>8</v>
      </c>
      <c r="B9" s="12" t="inlineStr">
        <is>
          <t>F-60</t>
        </is>
      </c>
      <c r="C9" s="12" t="inlineStr">
        <is>
          <t>Однозначність</t>
        </is>
      </c>
      <c r="D9" s="12" t="inlineStr">
        <is>
          <t>п. 4 — вимога точна і допускає єдину інтерпретацію</t>
        </is>
      </c>
      <c r="E9" s="12" t="inlineStr">
        <is>
          <t>«знайти товари, назви яких схожі на введений запит» — «схожі» допускає різні тлумачення (підрядок, початок слова, нечіткий пошук).</t>
        </is>
      </c>
      <c r="F9" s="12" t="inlineStr">
        <is>
          <t>«Поле пошуку на головній сторінці знаходить товари, назви яких містять введений запит як підрядок без урахування регістру.»</t>
        </is>
      </c>
      <c r="G9" s="12" t="inlineStr">
        <is>
          <t>Тимчак А. (ТА)</t>
        </is>
      </c>
      <c r="H9" s="12" t="inlineStr"/>
    </row>
    <row r="10">
      <c r="A10" s="12" t="n">
        <v>9</v>
      </c>
      <c r="B10" s="12" t="inlineStr">
        <is>
          <t>F-90</t>
        </is>
      </c>
      <c r="C10" s="12" t="inlineStr">
        <is>
          <t>Тестопридатність</t>
        </is>
      </c>
      <c r="D10" s="12" t="inlineStr">
        <is>
          <t>практичний тест: тест-кейс з однозначним результатом «пройдено / не пройдено»</t>
        </is>
      </c>
      <c r="E10" s="12" t="inlineStr">
        <is>
          <t>«додає товар у кошик у вказаній кількості миттєво і без помилок» — слова-маркери «миттєво», «без помилок»; немає числа й способу спостереження.</t>
        </is>
      </c>
      <c r="F10" s="12" t="inlineStr">
        <is>
          <t>«Натискання «Add to cart» додає товар у кошик у кількості з поля «Quantity»; не пізніше ніж за 2 с після натискання виводиться повідомлення «Product added to shopping cart.»; повторне додавання того самого товару збільшує кількість у наявному рядку (BL-20).»</t>
        </is>
      </c>
      <c r="G10" s="12" t="inlineStr">
        <is>
          <t>Тимчак А. (ТА)</t>
        </is>
      </c>
      <c r="H10" s="12" t="inlineStr">
        <is>
          <t>Значення 2 с і текст повідомлення — Потребує підтвердження замовником.</t>
        </is>
      </c>
    </row>
    <row r="11">
      <c r="A11" s="12" t="n">
        <v>10</v>
      </c>
      <c r="B11" s="12" t="inlineStr">
        <is>
          <t>F-100</t>
        </is>
      </c>
      <c r="C11" s="12" t="inlineStr">
        <is>
          <t>Повнота</t>
        </is>
      </c>
      <c r="D11" s="12" t="inlineStr">
        <is>
          <t>п. 3 — немає посилань на неіснуючі документи</t>
        </is>
      </c>
      <c r="E11" s="12" t="inlineStr">
        <is>
          <t>«Обмеження на кількість одиниць у рядку визначає вимога BL-25» — вимоги BL-25 у SRS немає.</t>
        </is>
      </c>
      <c r="F11" s="12" t="inlineStr">
        <is>
          <t>«Обмеження на кількість одиниць у рядку (від 1 до 99) визначають вимоги BL-10, BL-20 і BL-40.»</t>
        </is>
      </c>
      <c r="G11" s="12" t="inlineStr">
        <is>
          <t>Тимчак А. (ТА)</t>
        </is>
      </c>
      <c r="H11" s="12" t="inlineStr"/>
    </row>
    <row r="12">
      <c r="A12" s="12" t="n">
        <v>11</v>
      </c>
      <c r="B12" s="12" t="inlineStr">
        <is>
          <t>F-110 ↔ BL-60</t>
        </is>
      </c>
      <c r="C12" s="12" t="inlineStr">
        <is>
          <t>Несуперечливість</t>
        </is>
      </c>
      <c r="D12" s="12" t="inlineStr">
        <is>
          <t>п. 2 — вимоги не суперечать одна одній</t>
        </is>
      </c>
      <c r="E12" s="12" t="inlineStr">
        <is>
          <t>F-110: «вартість доставки: 120 грн, а для замовлень від 2000 грн доставка безкоштовна»; BL-60: «0.00 грн, якщо сума після знижки не менша за 1500 грн; інакше 120.00 грн» — різні пороги безкоштовної доставки.</t>
        </is>
      </c>
      <c r="F12" s="12" t="inlineStr">
        <is>
          <t>F-110: «… вартість доставки визначається за BL-60: 0.00 грн, якщо сума після знижок не менша за 1500 грн, інакше 120.00 грн.»</t>
        </is>
      </c>
      <c r="G12" s="12" t="inlineStr">
        <is>
          <t>Тимчак А. (ТА)</t>
        </is>
      </c>
      <c r="H12" s="12" t="inlineStr">
        <is>
          <t>Поріг 1500 грн — Потребує підтвердження замовником.</t>
        </is>
      </c>
    </row>
    <row r="13">
      <c r="A13" s="12" t="n">
        <v>12</v>
      </c>
      <c r="B13" s="12" t="inlineStr">
        <is>
          <t>F-110 ↔ розд. 2.3, пункт 3</t>
        </is>
      </c>
      <c r="C13" s="12" t="inlineStr">
        <is>
          <t>Несуперечливість</t>
        </is>
      </c>
      <c r="D13" s="12" t="inlineStr">
        <is>
          <t>п. 2 — вимоги не суперечать одна одній</t>
        </is>
      </c>
      <c r="E13" s="12" t="inlineStr">
        <is>
          <t>F-110: «Підсумок замовлення містить суму товарів, знижку за обсяг, знижку за промокодом і вартість доставки»; 2.3: «Модуль програми лояльності … в поточній версії ще не інтегрований в інтерфейс» — інтерфейс не може показувати знижки модуля, який у нього не інтегровано.</t>
        </is>
      </c>
      <c r="F13" s="12" t="inlineStr">
        <is>
          <t>F-110: «Підсумок замовлення містить суму товарів і вартість доставки; знижка за обсяг і знижка за промокодом у версії 1.0 в інтерфейсі не відображаються (розд. 2.3).»</t>
        </is>
      </c>
      <c r="G13" s="12" t="inlineStr">
        <is>
          <t>Тимчак А. (ТА)</t>
        </is>
      </c>
      <c r="H13" s="12" t="inlineStr">
        <is>
          <t>крос (розд. 2.3). Альтернатива — інтегрувати модуль і змінити 2.3; Потребує підтвердження замовником.</t>
        </is>
      </c>
    </row>
    <row r="14">
      <c r="A14" s="12" t="n">
        <v>13</v>
      </c>
      <c r="B14" s="12" t="inlineStr">
        <is>
          <t>F-120 ↔ GUI-40</t>
        </is>
      </c>
      <c r="C14" s="12" t="inlineStr">
        <is>
          <t>Несуперечливість</t>
        </is>
      </c>
      <c r="D14" s="12" t="inlineStr">
        <is>
          <t>п. 2 — вимоги не суперечать одна одній</t>
        </is>
      </c>
      <c r="E14" s="12" t="inlineStr">
        <is>
          <t>F-120: «Покупець може додати товар до списку обраного кнопкою «Add to favourites» без входу в систему»; GUI-40: «якщо покупець не увійшов у систему … товар до обраного не додається»; розд. 2.1 відносить «обране» до функцій зареєстрованого покупця.</t>
        </is>
      </c>
      <c r="F14" s="12" t="inlineStr">
        <is>
          <t>F-120: «Зареєстрований покупець, який увійшов у систему, може додати товар до списку обраного кнопкою «Add to favourites»; для неавторизованого покупця товар не додається (GUI-40). Список обраного доступний у кабінеті («My favorites»), де позицію можна видалити.»</t>
        </is>
      </c>
      <c r="G14" s="12" t="inlineStr">
        <is>
          <t>Тимчак А. (ТА)</t>
        </is>
      </c>
      <c r="H14" s="12" t="inlineStr">
        <is>
          <t>крос (GUI-40)</t>
        </is>
      </c>
    </row>
    <row r="15">
      <c r="A15" s="12" t="n">
        <v>14</v>
      </c>
      <c r="B15" s="12" t="inlineStr">
        <is>
          <t>F-140</t>
        </is>
      </c>
      <c r="C15" s="12" t="inlineStr">
        <is>
          <t>Повнота</t>
        </is>
      </c>
      <c r="D15" s="12" t="inlineStr">
        <is>
          <t>п. 4 — обумовлено всі допустимі й недопустимі вхідні дані</t>
        </is>
      </c>
      <c r="E15" s="12" t="inlineStr">
        <is>
          <t>«довжина повідомлення — не менше 50 символів. До звернення можна додати файл-вкладення» — не задано максимальну довжину повідомлення, допустимий формат і розмір вкладення та реакцію на недопустимий файл.</t>
        </is>
      </c>
      <c r="F15" s="12" t="inlineStr">
        <is>
          <t>«… довжина повідомлення — від 50 до 250 символів. До звернення можна додати один файл формату .txt розміром до 500 КБ; для недопустимого файла звернення не надсилається, а біля поля виводиться повідомлення про помилку (GUI-50).»</t>
        </is>
      </c>
      <c r="G15" s="12" t="inlineStr">
        <is>
          <t>Тимчак А. (ТА)</t>
        </is>
      </c>
      <c r="H15" s="12" t="inlineStr">
        <is>
          <t>Межі довжини, формат і розмір файла — Потребує підтвердження замовником.</t>
        </is>
      </c>
    </row>
    <row r="16">
      <c r="A16" s="12" t="n">
        <v>15</v>
      </c>
      <c r="B16" s="12" t="inlineStr">
        <is>
          <t>BL-10</t>
        </is>
      </c>
      <c r="C16" s="12" t="inlineStr">
        <is>
          <t>Повнота</t>
        </is>
      </c>
      <c r="D16" s="12" t="inlineStr">
        <is>
          <t>п. 4 — обумовлено всі допустимі й недопустимі вхідні дані</t>
        </is>
      </c>
      <c r="E16" s="12" t="inlineStr">
        <is>
          <t>«Допустимі значення: qty — …; unitPrice — …; sku — непорожній рядок» — для параметра name допустимі значення не задано (null, порожній рядок).</t>
        </is>
      </c>
      <c r="F16" s="12" t="inlineStr">
        <is>
          <t>«Допустимі значення: qty — ціле число від 1 до 99 включно; unitPrice — сума в гривнях, строго більша за 0; sku і name — непорожні рядки. …»</t>
        </is>
      </c>
      <c r="G16" s="12" t="inlineStr">
        <is>
          <t>Тимчак А. (ТА)</t>
        </is>
      </c>
      <c r="H16" s="12" t="inlineStr"/>
    </row>
    <row r="17">
      <c r="A17" s="12" t="n">
        <v>16</v>
      </c>
      <c r="B17" s="12" t="inlineStr">
        <is>
          <t>BL-30</t>
        </is>
      </c>
      <c r="C17" s="12" t="inlineStr">
        <is>
          <t>Простежуваність</t>
        </is>
      </c>
      <c r="D17" s="12" t="inlineStr">
        <is>
          <t>п. 1 — вимоги унікальні й не повторюються</t>
        </is>
      </c>
      <c r="E17" s="12" t="inlineStr">
        <is>
          <t>BL-30: «Якщо в кошику вже є товар із таким самим артикулом, система не додає окремий рядок, а збільшує кількість у наявному рядку» повторює BL-20: «Повторне додавання позиції з тим самим sku не створює новий рядок, а збільшує кількість наявного рядка».</t>
        </is>
      </c>
      <c r="F17" s="12" t="inlineStr">
        <is>
          <t>Вилучити BL-30 (ID залишається «діркою»); посилання на BL-30 замінити на BL-20.</t>
        </is>
      </c>
      <c r="G17" s="12" t="inlineStr">
        <is>
          <t>Тимчак А. (ТА)</t>
        </is>
      </c>
      <c r="H17" s="12" t="inlineStr"/>
    </row>
    <row r="18">
      <c r="A18" s="12" t="n">
        <v>17</v>
      </c>
      <c r="B18" s="12" t="inlineStr">
        <is>
          <t>BL-40</t>
        </is>
      </c>
      <c r="C18" s="12" t="inlineStr">
        <is>
          <t>Простежуваність</t>
        </is>
      </c>
      <c r="D18" s="12" t="inlineStr">
        <is>
          <t>п. 4 — формат ID дозволяє розділяти вимогу без впливу на решту ID</t>
        </is>
      </c>
      <c r="E18" s="12" t="inlineStr">
        <is>
          <t>BL-40 під одним ID описує чотири методи: «Cart.removeItem(sku) …; Cart.changeQty(sku, qty) …; Cart.subtotal() …; Cart.itemCount() …» — окремий юніт-тест не можна простежити до окремої вимоги.</t>
        </is>
      </c>
      <c r="F18" s="12" t="inlineStr">
        <is>
          <t>BL-40: «Cart.removeItem(sku) видаляє рядок; для відсутнього sku кидає NoSuchElementException.» BL-42: «Cart.changeQty(sku, qty) встановлює нову кількість від 1 до 99 включно (інакше IllegalArgumentException); для відсутнього sku кидає NoSuchElementException.» BL-44: «Cart.subtotal() повертає суму добутків «ціна × кількість» за всіма рядками, округлену до копійок (HALF_UP); для порожнього кошика — 0.00.» BL-46: «Cart.itemCount() повертає суму кількостей усіх рядків; для порожнього кошика — 0.»</t>
        </is>
      </c>
      <c r="G18" s="12" t="inlineStr">
        <is>
          <t>Тимчак А. (ТА)</t>
        </is>
      </c>
      <c r="H18" s="12" t="inlineStr"/>
    </row>
    <row r="19">
      <c r="A19" s="12" t="n">
        <v>18</v>
      </c>
      <c r="B19" s="12" t="inlineStr">
        <is>
          <t>BL-50</t>
        </is>
      </c>
      <c r="C19" s="12" t="inlineStr">
        <is>
          <t>Однозначність</t>
        </is>
      </c>
      <c r="D19" s="12" t="inlineStr">
        <is>
          <t>п. 4 — вимога точна і допускає єдину інтерпретацію</t>
        </is>
      </c>
      <c r="E19" s="12" t="inlineStr">
        <is>
          <t>«при сумі від 2000 грн — 5 %, від 5000 грн — 10 %, від 10000 грн — 15 %» — діапазони перекриваються (сума 6000 грн одночасно «від 2000» і «від 5000»), межі не позначено як включні чи виключні.</t>
        </is>
      </c>
      <c r="F19" s="12" t="inlineStr">
        <is>
          <t>«… обчислює знижку за обсяг: subtotal &lt; 2000 — 0 %; 2000 ≤ subtotal &lt; 5000 — 5 %; 5000 ≤ subtotal &lt; 10000 — 10 %; subtotal ≥ 10000 — 15 %; …»</t>
        </is>
      </c>
      <c r="G19" s="12" t="inlineStr">
        <is>
          <t>Тимчак А. (ТА)</t>
        </is>
      </c>
      <c r="H19" s="12" t="inlineStr"/>
    </row>
    <row r="20">
      <c r="A20" s="12" t="n">
        <v>19</v>
      </c>
      <c r="B20" s="12" t="inlineStr">
        <is>
          <t>BL-60</t>
        </is>
      </c>
      <c r="C20" s="12" t="inlineStr">
        <is>
          <t>Однозначність</t>
        </is>
      </c>
      <c r="D20" s="12" t="inlineStr">
        <is>
          <t>п. 4 — вимога точна і допускає єдину інтерпретацію</t>
        </is>
      </c>
      <c r="E20" s="12" t="inlineStr">
        <is>
          <t>«shippingFee(subtotalAfterDiscount) … якщо сума після знижки не менша за 1500 грн» — не визначено, яку знижку віднімають: лише за обсягом (BL-50) чи також за промокодом (BL-80).</t>
        </is>
      </c>
      <c r="F20" s="12" t="inlineStr">
        <is>
          <t>«… де subtotalAfterDiscount = subtotal − знижка за обсяг (BL-50) − знижка за промокодом (BL-80); повертає 0.00 грн, якщо subtotalAfterDiscount не менша за 1500 грн, інакше 120.00 грн. …»</t>
        </is>
      </c>
      <c r="G20" s="12" t="inlineStr">
        <is>
          <t>Тимчак А. (ТА)</t>
        </is>
      </c>
      <c r="H20" s="12" t="inlineStr">
        <is>
          <t>Потребує підтвердження замовником.</t>
        </is>
      </c>
    </row>
    <row r="21">
      <c r="A21" s="12" t="n">
        <v>20</v>
      </c>
      <c r="B21" s="12" t="inlineStr">
        <is>
          <t>BL-70</t>
        </is>
      </c>
      <c r="C21" s="12" t="inlineStr">
        <is>
          <t>Тестопридатність</t>
        </is>
      </c>
      <c r="D21" s="12" t="inlineStr">
        <is>
          <t>практичний тест: тест-кейс з однозначним результатом «пройдено / не пройдено»</t>
        </is>
      </c>
      <c r="E21" s="12" t="inlineStr">
        <is>
          <t>«Результат містить ознаку придатності та причину відмови» — можливі причини відмови не перелічено, тож тест не може перевірити, що повернуто правильну причину.</t>
        </is>
      </c>
      <c r="F21" s="12" t="inlineStr">
        <is>
          <t>«… Причина відмови — одне зі значень: NOT_FOUND (код не існує), INVALID_FORMAT (довжина поза межами 6–10 символів), EXPIRED (дата закінчення раніша за today), ALREADY_USED (одноразовий код уже використано), INVALID_VALUE (значення поза допустимими межами); для придатного коду причина порожня.»</t>
        </is>
      </c>
      <c r="G21" s="12" t="inlineStr">
        <is>
          <t>Тимчак А. (ТА)</t>
        </is>
      </c>
      <c r="H21" s="12" t="inlineStr"/>
    </row>
    <row r="22">
      <c r="A22" s="12" t="n">
        <v>21</v>
      </c>
      <c r="B22" s="12" t="inlineStr">
        <is>
          <t>BL-80</t>
        </is>
      </c>
      <c r="C22" s="12" t="inlineStr">
        <is>
          <t>Здійсненність</t>
        </is>
      </c>
      <c r="D22" s="12" t="inlineStr">
        <is>
          <t>вимоги здійсненні з погляду наявних ресурсів; виконання не залежить від систем, які продукт не контролює</t>
        </is>
      </c>
      <c r="E22" s="12" t="inlineStr">
        <is>
          <t>«система перевіряє, що цей код не було використано у жодному іншому інтернет-магазині, зокрема сторонніх» — модуль не має доступу до даних сторонніх магазинів; до того ж за 2.3 бібліотека «без зовнішніх залежностей».</t>
        </is>
      </c>
      <c r="F22" s="12" t="inlineStr">
        <is>
          <t>«Перед застосуванням одноразового коду метод перевіряє, що код не позначений як використаний у ШопЛайн; використаний код відхиляється (IllegalArgumentException із причиною відмови за BL-70).»</t>
        </is>
      </c>
      <c r="G22" s="12" t="inlineStr">
        <is>
          <t>Тимчак А. (ТА)</t>
        </is>
      </c>
      <c r="H22" s="12" t="inlineStr"/>
    </row>
    <row r="23">
      <c r="A23" s="12" t="n">
        <v>22</v>
      </c>
      <c r="B23" s="12" t="inlineStr">
        <is>
          <t>BL-70, BL-80 (немає вимоги)</t>
        </is>
      </c>
      <c r="C23" s="12" t="inlineStr">
        <is>
          <t>Повнота</t>
        </is>
      </c>
      <c r="D23" s="12" t="inlineStr">
        <is>
          <t>п. 2 — усі необхідні вимоги присутні</t>
        </is>
      </c>
      <c r="E23" s="12" t="inlineStr">
        <is>
          <t>BL-70: фіксована сума «не перевищує subtotal», BL-50: знижка за обсяг — до 15 % від subtotal; правила сумісного застосування знижок немає, тож сума до оплати може бути від'ємною (subtotal 2000, знижка за обсяг 100, промокод 2000 → −100).</t>
        </is>
      </c>
      <c r="F23" s="12" t="inlineStr">
        <is>
          <t>Нова вимога BL-90: «Сума до оплати = subtotal − знижка за обсяг (BL-50) − знижка за промокодом (BL-80); якщо результат менший за 0.00, він дорівнює 0.00; до суми до оплати додається вартість доставки (BL-60).»</t>
        </is>
      </c>
      <c r="G23" s="12" t="inlineStr">
        <is>
          <t>Тимчак А. (ТА)</t>
        </is>
      </c>
      <c r="H23" s="12" t="inlineStr"/>
    </row>
    <row r="24">
      <c r="A24" s="12" t="n">
        <v>23</v>
      </c>
      <c r="B24" s="12" t="inlineStr">
        <is>
          <t>GUI-30 ↔ BL-10</t>
        </is>
      </c>
      <c r="C24" s="12" t="inlineStr">
        <is>
          <t>Несуперечливість</t>
        </is>
      </c>
      <c r="D24" s="12" t="inlineStr">
        <is>
          <t>п. 2 — вимоги не суперечать одна одній</t>
        </is>
      </c>
      <c r="E24" s="12" t="inlineStr">
        <is>
          <t>GUI-30: «приймає значення від 0 до 100»; BL-10: «qty — ціле число від 1 до 99 включно».</t>
        </is>
      </c>
      <c r="F24" s="12" t="inlineStr">
        <is>
          <t>GUI-30: «… приймає цілі значення від 1 до 99 включно; значення за замовчуванням — 1.»</t>
        </is>
      </c>
      <c r="G24" s="12" t="inlineStr">
        <is>
          <t>Тимчак А. (ТА)</t>
        </is>
      </c>
      <c r="H24" s="12" t="inlineStr">
        <is>
          <t>крос (GUI-30 — розд. 4)</t>
        </is>
      </c>
    </row>
    <row r="25">
      <c r="A25" s="12" t="n">
        <v>24</v>
      </c>
      <c r="B25" s="12" t="inlineStr">
        <is>
          <t>GUI-60 (2 рядки)</t>
        </is>
      </c>
      <c r="C25" s="12" t="inlineStr">
        <is>
          <t>Простежуваність</t>
        </is>
      </c>
      <c r="D25" s="12" t="inlineStr">
        <is>
          <t>п. 2 — усі вимоги мають унікальний ідентифікатор</t>
        </is>
      </c>
      <c r="E25" s="12" t="inlineStr">
        <is>
          <t>Ідентифікатор GUI-60 присвоєно двом різним вимогам: «Форма входу містить поля …» і «Форма реєстрації містить поля у такому порядку …».</t>
        </is>
      </c>
      <c r="F25" s="12" t="inlineStr">
        <is>
          <t>Форму реєстрації позначити новим ID GUI-65; форма входу залишається GUI-60.</t>
        </is>
      </c>
      <c r="G25" s="12" t="inlineStr">
        <is>
          <t>Тимчак А. (ТА)</t>
        </is>
      </c>
      <c r="H25" s="12" t="inlineStr">
        <is>
          <t>крос (розд. 4)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2026-10-01T11:58:50Z</dcterms:created>
  <dcterms:modified xsi:type="dcterms:W3CDTF">2026-10-06T08:38:15Z</dcterms:modified>
</cp:coreProperties>
</file>