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розділів" sheetId="1" state="visible" r:id="rId1"/>
    <sheet xmlns:r="http://schemas.openxmlformats.org/officeDocument/2006/relationships" name="audit_horbonos" sheetId="2" state="visible" r:id="rId2"/>
    <sheet xmlns:r="http://schemas.openxmlformats.org/officeDocument/2006/relationships" name="audit_korotka" sheetId="3" state="visible" r:id="rId3"/>
    <sheet xmlns:r="http://schemas.openxmlformats.org/officeDocument/2006/relationships" name="audit_drepina" sheetId="4" state="visible" r:id="rId4"/>
    <sheet xmlns:r="http://schemas.openxmlformats.org/officeDocument/2006/relationships" name="audit_tymchak" sheetId="5" state="visible" r:id="rId5"/>
    <sheet xmlns:r="http://schemas.openxmlformats.org/officeDocument/2006/relationships" name="Реєстр" sheetId="6" state="visible" r:id="rId6"/>
    <sheet xmlns:r="http://schemas.openxmlformats.org/officeDocument/2006/relationships" name="Спірні" sheetId="7" state="visible" r:id="rId7"/>
    <sheet xmlns:r="http://schemas.openxmlformats.org/officeDocument/2006/relationships" name="Рецензування" sheetId="8" state="visible" r:id="rId8"/>
  </sheets>
  <definedNames>
    <definedName name="_xlnm._FilterDatabase" localSheetId="5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1" fillId="3" borderId="4" pivotButton="0" quotePrefix="0" xfId="0"/>
    <xf numFmtId="0" fontId="0" fillId="0" borderId="4" pivotButton="0" quotePrefix="0" xfId="0"/>
    <xf numFmtId="0" fontId="1" fillId="0" borderId="4" pivotButton="0" quotePrefix="0" xfId="0"/>
    <xf numFmtId="0" fontId="6" fillId="0" borderId="4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Прийнято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
Варіант Коротка К. (КТ): 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22" t="inlineStr">
        <is>
          <t>Горбонос О. (СМ), Коротка К. (КТ)</t>
        </is>
      </c>
      <c r="H2" s="22" t="inlineStr">
        <is>
          <t>прийнято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Варіанти виправлення різняться (мобільні браузери) — потребує підтвердження замовником.</t>
        </is>
      </c>
      <c r="L2" s="23" t="inlineStr">
        <is>
          <t>Однозначність</t>
        </is>
      </c>
      <c r="M2" s="23">
        <f>COUNTIFS($C$2:$C$37,L2,$H$2:$H$37,"прийнято")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прийнято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Потребує підтвердження замовником.</t>
        </is>
      </c>
      <c r="L3" s="23" t="inlineStr">
        <is>
          <t>Повнота</t>
        </is>
      </c>
      <c r="M3" s="23">
        <f>COUNTIFS($C$2:$C$37,L3,$H$2:$H$37,"прийнято")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прийнято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COUNTIFS($C$2:$C$37,L4,$H$2:$H$37,"прийнято")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
Варіант Тимчак А. (ТА): «Після успішного входу система перенаправляє покупця на сторінку особистого кабінету (F-130).»</t>
        </is>
      </c>
      <c r="G5" s="22" t="inlineStr">
        <is>
          <t>Горбонос О. (СМ), Тимчак А. (ТА)</t>
        </is>
      </c>
      <c r="H5" s="22" t="inlineStr">
        <is>
          <t>прийнято</t>
        </is>
      </c>
      <c r="I5" s="22" t="inlineStr">
        <is>
          <t>audit_horbonos №1; audit_tymchak №3</t>
        </is>
      </c>
      <c r="J5" s="22" t="inlineStr">
        <is>
          <t>Обидва варіанти ведуть у кабінет; варіант Горбонос додатково описує вхід на кроці «Sign in» (F-110).</t>
        </is>
      </c>
      <c r="L5" s="23" t="inlineStr">
        <is>
          <t>Простежуваність</t>
        </is>
      </c>
      <c r="M5" s="23">
        <f>COUNTIFS($C$2:$C$37,L5,$H$2:$H$37,"прийнято")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прийнято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</t>
        </is>
      </c>
      <c r="L6" s="23" t="inlineStr">
        <is>
          <t>Здійсненність</t>
        </is>
      </c>
      <c r="M6" s="23">
        <f>COUNTIFS($C$2:$C$37,L6,$H$2:$H$37,"прийнято")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прийнято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COUNTIFS($C$2:$C$37,L7,$H$2:$H$37,"прийнято")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прийнято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відхилено після обговорення</t>
        </is>
      </c>
      <c r="I9" s="22" t="inlineStr">
        <is>
          <t>audit_tymchak №7</t>
        </is>
      </c>
      <c r="J9" s="22" t="inlineStr">
        <is>
          <t>Класифікація: аналогічний дефект GUI-70 (текст повідомлення не задано) віднесено до однозначності — узгодити один критерій для обох рядків.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прийнято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Відхилено після обговорення</t>
        </is>
      </c>
      <c r="M10" s="23">
        <f>COUNTIF($H$2:$H$37,"відхилено після обговорення")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прийнято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
Варіант Горбонос О. (СМ): «Обмеження на кількість одиниць у рядку (ціле число від 1 до 99 включно) визначає вимога BL-40.»</t>
        </is>
      </c>
      <c r="G12" s="22" t="inlineStr">
        <is>
          <t>Горбонос О. (СМ), Коротка К. (КТ), Тимчак А. (ТА)</t>
        </is>
      </c>
      <c r="H12" s="22" t="inlineStr">
        <is>
          <t>прийнято</t>
        </is>
      </c>
      <c r="I12" s="22" t="inlineStr">
        <is>
          <t>audit_horbonos №3; audit_korotka №17; audit_tymchak №10</t>
        </is>
      </c>
      <c r="J12" s="22" t="n"/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Варіант Горбонос О. (СМ), Дрєпіна А. (ІТ): 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
Варіант Тимчак А. (ТА), Коротка К. (КТ): F-110: «… вартість доставки визначається за BL-60: 0.00 грн, якщо сума після знижок не менша за 1500 грн, інакше 120.00 грн.»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прийнято</t>
        </is>
      </c>
      <c r="I13" s="22" t="inlineStr">
        <is>
          <t>audit_horbonos №5; audit_korotka №16; audit_drepina №10; audit_tymchak №11</t>
        </is>
      </c>
      <c r="J13" s="22" t="inlineStr">
        <is>
          <t>Варіанти різняться базою порогу: сума після знижки за обсяг (Горбонос, Дрєпіна) чи після всіх знижок (Тимчак, Коротка) — пов'язано з рядком BL-60 (однозначність). Поріг —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4" s="22" t="inlineStr">
        <is>
          <t>Тимчак А. (ТА)</t>
        </is>
      </c>
      <c r="H14" s="22" t="inlineStr">
        <is>
          <t>прийнято</t>
        </is>
      </c>
      <c r="I14" s="22" t="inlineStr">
        <is>
          <t>audit_tymchak №12</t>
        </is>
      </c>
      <c r="J14" s="22" t="inlineStr">
        <is>
          <t>Сумнівний: інші аудитори розділу 3 цього не позначили; виправлення конфліктує з варіантами виправлення рядка F-110 ↔ BL-60, які залишають знижки в підсумку. Альтернатива — інтегрувати модуль і змінити 2.3.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прийнято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прийнято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відхилено після обговорення</t>
        </is>
      </c>
      <c r="I17" s="22" t="inlineStr">
        <is>
          <t>audit_korotka №2</t>
        </is>
      </c>
      <c r="J17" s="22" t="inlineStr">
        <is>
          <t>Сумнівний: автор вказав середню впевненість; другий аудитор розділу 4 (Дрєпіна) не знайшов. Перелік мов звірено з demo 01.10.2026.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прийнято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прийнято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прийнято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відхилено після обговорення</t>
        </is>
      </c>
      <c r="I21" s="22" t="inlineStr">
        <is>
          <t>audit_korotka №8</t>
        </is>
      </c>
      <c r="J21" s="22" t="inlineStr">
        <is>
          <t>Сумнівний: автор вказав середню впевненість; другий аудитор розділу 4 (Дрєпіна) не знайшов. Класифікація: аналогічний дефект F-50 віднесено до тестопридатності. Текст — потребує підтвердження замовником.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прийнято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прийнято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прийнято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прийнято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прийнято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прийнято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прийнято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прийнято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прийнято</t>
        </is>
      </c>
      <c r="I30" s="22" t="inlineStr">
        <is>
          <t>audit_tymchak №15</t>
        </is>
      </c>
      <c r="J30" s="22" t="n"/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прийнято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відхилено після обговорення</t>
        </is>
      </c>
      <c r="I32" s="22" t="inlineStr">
        <is>
          <t>audit_tymchak №17</t>
        </is>
      </c>
      <c r="J32" s="22" t="inlineStr">
        <is>
          <t>Класифікація: п. 4 перевіряє формат ID, а не складеність вимоги; другий аудитор розділу 5 (Дрєпіна) не знайшов.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відхилено після обговорення</t>
        </is>
      </c>
      <c r="I33" s="22" t="inlineStr">
        <is>
          <t>audit_tymchak №18</t>
        </is>
      </c>
      <c r="J33" s="22" t="n"/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прийнято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прийнято</t>
        </is>
      </c>
      <c r="I35" s="22" t="inlineStr">
        <is>
          <t>audit_tymchak №20</t>
        </is>
      </c>
      <c r="J35" s="22" t="n"/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прийнято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37" s="22" t="inlineStr">
        <is>
          <t>Тимчак А. (ТА)</t>
        </is>
      </c>
      <c r="H37" s="22" t="inlineStr">
        <is>
          <t>прийнято</t>
        </is>
      </c>
      <c r="I37" s="22" t="inlineStr">
        <is>
          <t>audit_tymchak №22</t>
        </is>
      </c>
      <c r="J37" s="22" t="n"/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62" customWidth="1" min="3" max="3"/>
    <col width="22" customWidth="1" min="4" max="4"/>
    <col width="20" customWidth="1" min="5" max="5"/>
    <col width="52" customWidth="1" min="6" max="6"/>
  </cols>
  <sheetData>
    <row r="1">
      <c r="A1" s="5" t="inlineStr">
        <is>
          <t>Рядок реєстру</t>
        </is>
      </c>
      <c r="B1" s="5" t="inlineStr">
        <is>
          <t>Аргумент «за»</t>
        </is>
      </c>
      <c r="C1" s="5" t="inlineStr">
        <is>
          <t>Аргумент «проти»</t>
        </is>
      </c>
      <c r="D1" s="5" t="inlineStr">
        <is>
          <t>Рішення</t>
        </is>
      </c>
      <c r="E1" s="5" t="inlineStr">
        <is>
          <t>Хто вирішив / дата</t>
        </is>
      </c>
      <c r="F1" s="5" t="inlineStr">
        <is>
          <t>Пропозиція адвоката (чернетка до обговорення)</t>
        </is>
      </c>
    </row>
    <row r="2">
      <c r="A2" s="7" t="inlineStr">
        <is>
          <t>№8 · F-50 · Тестопридатність
Автор: Тимчак А. (ТА)
Позначено ТА як спірне</t>
        </is>
      </c>
      <c r="B2" s="7" t="inlineStr">
        <is>
          <t>F-50: «система показує текстове повідомлення про відсутність товарів» — текст не заданий. На demo виводиться «There are no products found.» (звірено 08.10.2026), але зі SRS цього не випливає: тест-кейс і розробник можуть очікувати різне формулювання (практичний тест чек-листа тестопридатності).</t>
        </is>
      </c>
      <c r="C2" s="7" t="inlineStr">
        <is>
          <t>Практичний тест тестопридатності проходить: результат «з'являється текстове повідомлення про відсутність товарів» перевіряється за наявністю повідомлення, число чи умова не відсутні. Точне формулювання — деталь дизайну. Виправлення лише називає текст і не додає ні числа, ні умови, ні способу спостереження, тобто за правилом «додає число — тестопридатність; уточнює об'єкт — однозначність» критерій обрано непослідовно: той самий випадок у №20 віднесено до однозначності.</t>
        </is>
      </c>
      <c r="D2" s="7" t="inlineStr">
        <is>
          <t>Відхилено після обговорення: наявність повідомлення про відсутність товарів перевіряється однозначно, порушеного пункту чек-листа немає; точний текст — деталь дизайну. Рішення однакове з №20.</t>
        </is>
      </c>
      <c r="E2" s="7" t="inlineStr">
        <is>
          <t>Команда (модерація: Коротка К., КТ), 08.10.2026</t>
        </is>
      </c>
      <c r="F2" s="7" t="inlineStr">
        <is>
          <t>Відхилити як необґрунтований (немає порушеного пункту чек-листа), якщо автор не покаже, що без точного тексту результат «пройдено / не пройдено» неоднозначний. Якщо команда прийме — один критерій для №8 і №20.</t>
        </is>
      </c>
    </row>
    <row r="3">
      <c r="A3" s="7" t="inlineStr">
        <is>
          <t>№13 · F-110 ↔ розд. 2.3, п. 3 · Несуперечливість
Автор: Тимчак А. (ТА)
Позначено ТА як спірне</t>
        </is>
      </c>
      <c r="B3" s="7" t="inlineStr">
        <is>
          <t>Пряма суперечність: F-110 вимагає в підсумку замовлення «знижку за обсяг, знижку за промокодом і вартість доставки», а 2.3 каже, що модуль програми лояльності «в поточній версії ще не інтегрований в інтерфейс». Те саме зафіксовано в ризику 3 плану тестування. Порушено п. 2 чек-листа несуперечливості.</t>
        </is>
      </c>
      <c r="C3" s="7" t="inlineStr">
        <is>
          <t>Інші аудитори розділу 3 цього не позначили. Виправлення конфліктує з №12: воно прибирає знижки з підсумку, але лишає вартість доставки, правило якої (BL-60) теж належить неінтегрованому модулю, тож виправлення внутрішньо неповне. Вступ SRS: документ описує «поточну версію продукту та вимоги до нової функції», тож F-110 може описувати цільову поведінку нової функції, а не поточний UI. Тоді суперечності немає, є нечітка межа «поточне / нове».</t>
        </is>
      </c>
      <c r="D3" s="7" t="inlineStr">
        <is>
          <t>Прийнято (несуперечливість, п. 2). Окремо не виправляється: F-110 правиться одним рішенням разом із №12 і №33 — знижки й доставка в підсумку замовлення позначаються як вимога нової функції. Потребує підтвердження замовником.</t>
        </is>
      </c>
      <c r="E3" s="7" t="inlineStr">
        <is>
          <t>Команда (модерація: Коротка К., КТ), 08.10.2026</t>
        </is>
      </c>
      <c r="F3" s="7" t="inlineStr">
        <is>
          <t>Прийняти як дефект, але не виправляти окремо від №12: ухвалити одне рішення для F-110. Варіант А — F-110 описує лише поточний UI (сума товарів), а знижки й доставка посилаються на розділ 5. Варіант Б — знижки й доставка в UI позначені як вимога нової функції. Потребує підтвердження замовником.</t>
        </is>
      </c>
    </row>
    <row r="4">
      <c r="A4" s="7" t="inlineStr">
        <is>
          <t>№16 · GUI-10 · Повнота
Автор: Коротка К. (КТ)
Позначено ТА як спірне</t>
        </is>
      </c>
      <c r="B4" s="7" t="inlineStr">
        <is>
          <t>GUI-10 називає «перемикач мови інтерфейсу», але не вказує, які мови доступні й яка мова за замовчуванням; тест не знає, що перевіряти (п. 1 чек-листа повноти). 2.2 фіксує лише, що інтерфейс demo англійською.</t>
        </is>
      </c>
      <c r="C4" s="7" t="inlineStr">
        <is>
          <t>Знайшов один автор із середньою впевненістю; другий аудитор розділу 4 не знайшов. Перелік DE, EL, EN, ES, FR, NL, TR узято з demo (звірено 08.10.2026), а не зі SRS. В ньому немає української, хоча замовник — українська компанія (Житомир), а план тестування (тип 14) спирається на українські формати. Виправлення фіксує набір мов, який може не відповідати потребам замовника: це рішення замовника, а не дефект тексту.</t>
        </is>
      </c>
      <c r="D4" s="7" t="inlineStr">
        <is>
          <t>Відхилено після обговорення як дефект SRS: перелік мов узято з demo, а не зі SRS, і він може не відповідати потребам замовника. Винесено питанням замовнику на демо: які мови підтримує перемикач, чи є українська, яка мова за замовчуванням.</t>
        </is>
      </c>
      <c r="E4" s="7" t="inlineStr">
        <is>
          <t>Команда (модерація: Коротка К., КТ), 08.10.2026</t>
        </is>
      </c>
      <c r="F4" s="7" t="inlineStr">
        <is>
          <t>Прийняти лише як питання замовнику: «які мови підтримує перемикач, чи є українська і яка мова за замовчуванням». Конкретний набір мов у SRS 1.1 не вносити без підтвердження замовником. Інакше відхилити.</t>
        </is>
      </c>
    </row>
    <row r="5">
      <c r="A5" s="7" t="inlineStr">
        <is>
          <t>№20 · GUI-70 · Однозначність
Автор: Коротка К. (КТ)
Позначено ТА як спірне</t>
        </is>
      </c>
      <c r="B5" s="7" t="inlineStr">
        <is>
          <t>GUI-70: «Порожній кошик відображає текстове повідомлення замість таблиці» — текст не заданий; тест-кейс не має точного очікуваного результату. Авторка пропонує «The cart is empty».</t>
        </is>
      </c>
      <c r="C5" s="7" t="inlineStr">
        <is>
          <t>Те саме, що №8: перевірка наявності повідомлення замість таблиці однозначна, формулювання тексту — дизайн. Авторка сама вказала середню впевненість, другий аудитор розділу 4 не знайшов. Запропонований текст на demo не звірено. Критерій (однозначність) відрізняється від №8 (тестопридатність) для того самого типу дефекту.</t>
        </is>
      </c>
      <c r="D5" s="7" t="inlineStr">
        <is>
          <t>Відхилено після обговорення: як і №8, наявність повідомлення замість таблиці перевіряється однозначно; точний текст — деталь дизайну.</t>
        </is>
      </c>
      <c r="E5" s="7" t="inlineStr">
        <is>
          <t>Команда (модерація: Коротка К., КТ), 08.10.2026</t>
        </is>
      </c>
      <c r="F5" s="7" t="inlineStr">
        <is>
          <t>Розглядати разом із №8 і ухвалити однакове рішення: відхилити, або прийняти обидва під одним критерієм. Текст повідомлення — потребує підтвердження замовником.</t>
        </is>
      </c>
    </row>
    <row r="6">
      <c r="A6" s="7" t="inlineStr">
        <is>
          <t>№31 · BL-40 · Простежуваність
Автор: Тимчак А. (ТА)
Позначено ТА як спірне</t>
        </is>
      </c>
      <c r="B6" s="7" t="inlineStr">
        <is>
          <t>BL-40 під одним ID описує чотири методи (removeItem, changeQty, subtotal, itemCount). Юніт-тест (спринт 4) і матриця простежуваності (спринт 5) не можуть послатися на окрему вимогу.</t>
        </is>
      </c>
      <c r="C6" s="7" t="inlineStr">
        <is>
          <t>Названий п. 4 чек-листа простежуваності перевіряє, чи формат ID дозволяє розділяти вимогу без впливу на решту ID; формат із кроком 10 це дозволяє, тож порушення цього пункту немає. Складеність вимоги — це питання атомарності, якого в шести чек-листах немає; пункти 1 і 5 стосуються дублів і перекриття. Другий аудитор розділу 5 не знайшов. Виправлення створює три нові ID (BL-42, BL-44, BL-46) і змінює структуру розділу, не усуваючи порушення названого пункту.</t>
        </is>
      </c>
      <c r="D6" s="7" t="inlineStr">
        <is>
          <t>Відхилено після обговорення: п. 4 чек-листа простежуваності не порушено — формат ID із кроком 10 дозволяє розділити вимогу без впливу на решту ID; інших порушених пунктів не названо.</t>
        </is>
      </c>
      <c r="E6" s="7" t="inlineStr">
        <is>
          <t>Команда (модерація: Коротка К., КТ), 08.10.2026</t>
        </is>
      </c>
      <c r="F6" s="7" t="inlineStr">
        <is>
          <t>Відхилити: названий пункт чек-листа не порушено. Якщо команда хоче залишити рядок, потрібен інший порушений пункт; без нього рядок не рахувати до нормативу.</t>
        </is>
      </c>
    </row>
    <row r="7">
      <c r="A7" s="7" t="inlineStr">
        <is>
          <t>№12 F-110 ↔ BL-60 (несуперечливість) + №33 BL-60 (однозначність)
Автори: усі четверо / Тимчак А. (ТА)
Додано адвокатом: різні виправлення одного питання</t>
        </is>
      </c>
      <c r="B7" s="7" t="inlineStr">
        <is>
          <t>Суперечність порогу безкоштовної доставки підтверджують усі четверо аудиторів (№12), а BL-60 не уточнює, яка саме знижка віднімається (№33). Обидва дефекти справжні, виправлення потрібні.</t>
        </is>
      </c>
      <c r="C7" s="7" t="inlineStr">
        <is>
          <t>Автори пропонують різну базу порогу: після знижки за обсяг (Горбонос, Дрєпіна) або після всіх знижок (Тимчак, Коротка). Беклог спринта 1 схиляє до другого варіанту (але не доводить його): US-08 «поріг рахується від суми після знижок, а не до них», US-09 «сума кошика після знижок перевищує поріг». Поріг 1500 і 2000 грн — теж припущення. US-09 каже «перевищує» (строго більше), BL-60 — «не менша за» (більше або дорівнює); у US-09 випадок «сума точно дорівнює порогу» названо лише тестовим, тож межа не узгоджена. З іншого боку, BL-60 називає параметр subtotalAfterDiscount у класі DiscountCalculator, який рахує лише знижку за обсяг (промокод — окремий клас PromoCodeValidator), тож буквальне читання BL-60 — після знижки за обсяг: саме ця неоднозначність і є дефектом №33. Прийняті як є, обидва рядки дадуть SRS 1.1 дві різні бази порогу.</t>
        </is>
      </c>
      <c r="D7" s="7" t="inlineStr">
        <is>
          <t>Прийнято обидва (№12 — несуперечливість, №33 — однозначність). Одне рішення для F-110 і BL-60: база порогу — сума після знижки за обсяг і знижки за промокодом, поріг 1500 грн, межа «не менша за». Потребує підтвердження замовником.</t>
        </is>
      </c>
      <c r="E7" s="7" t="inlineStr">
        <is>
          <t>Команда (модерація: Коротка К., КТ), 08.10.2026</t>
        </is>
      </c>
      <c r="F7" s="7" t="inlineStr">
        <is>
          <t>Об'єднати №12 і №33 в одне рішення: база порогу = сума після знижки за обсяг і знижки за промокодом (так схиляє беклог US-08/US-09), поріг 1500 грн за BL-60, межа «не менша за». Однаково відобразити в F-110 і BL-60. База, поріг і межа — потребують підтвердження замовником.</t>
        </is>
      </c>
    </row>
    <row r="8">
      <c r="A8" s="7" t="inlineStr">
        <is>
          <t>№32 · BL-50 · Однозначність
Автор: Тимчак А. (ТА)
Додано адвокатом</t>
        </is>
      </c>
      <c r="B8" s="7" t="inlineStr">
        <is>
          <t>BL-50: «при сумі від 2000 грн — 5 %, від 5000 грн — 10 %, від 10000 грн — 15 %». Діапазони формально перекриваються (6000 грн одночасно «від 2000» і «від 5000»), межі не названо включними чи виключними.</t>
        </is>
      </c>
      <c r="C8" s="7" t="inlineStr">
        <is>
          <t>«Від N» означає нижню межу включно, а застосування лише найвищого рівня випливає з беклогу: US-06 «межі трьох рівнів суми (тест на ±1 грн від порогу), застосування лише найвищого рівня». Отже, є єдина інтерпретація і п. 4 чек-листа однозначності не порушено. Виправлення лише переписує ті самі правила нерівностями.</t>
        </is>
      </c>
      <c r="D8" s="7" t="inlineStr">
        <is>
          <t>Відхилено після обговорення: «від N» — нижня межа включно, застосовується лише найвищий рівень (US-06); єдина інтерпретація існує, п. 4 не порушено.</t>
        </is>
      </c>
      <c r="E8" s="7" t="inlineStr">
        <is>
          <t>Команда (модерація: Коротка К., КТ), 08.10.2026</t>
        </is>
      </c>
      <c r="F8" s="7" t="inlineStr">
        <is>
          <t>Відхилити як необґрунтований, або перевести в рекомендацію (запис нерівностями) без підрахунку до нормативу.</t>
        </is>
      </c>
    </row>
    <row r="9">
      <c r="A9" s="7" t="inlineStr">
        <is>
          <t>№34 · BL-70 · Тестопридатність
Автор: Тимчак А. (ТА)
Додано адвокатом</t>
        </is>
      </c>
      <c r="B9" s="7" t="inlineStr">
        <is>
          <t>BL-70: «Результат містить ознаку придатності та причину відмови» — перелік причин не заданий; тест не може перевірити, яку саме причину повернуто.</t>
        </is>
      </c>
      <c r="C9" s="7" t="inlineStr">
        <is>
          <t>Причини однозначно виводяться з п'яти умов самого BL-70 (довжина, дата, одноразовість, відсоток, фіксована сума). Виправлення додає значення NOT_FOUND («код не існує»), якого в SRS немає: validate(code, today, subtotal) не має реєстру кодів, тож це нова поведінка без основи, тобто виправлення породжує новий дефект. Воно також змінює тип «причини» (текст → перелік кодів) без позначки «потребує підтвердження замовником».</t>
        </is>
      </c>
      <c r="D9" s="7" t="inlineStr">
        <is>
          <t>Прийнято (тестопридатність). Виправлення переписує ТА перед SRS 1.1: прибрати NOT_FOUND, по одній причині на кожну умову BL-70, позначка «потребує підтвердження замовником».</t>
        </is>
      </c>
      <c r="E9" s="7" t="inlineStr">
        <is>
          <t>Команда (модерація: Коротка К., КТ), 08.10.2026</t>
        </is>
      </c>
      <c r="F9" s="7" t="inlineStr">
        <is>
          <t>Прийняти дефект, але переписати виправлення: прибрати NOT_FOUND, зв'язати по одній причині з кожною умовою BL-70, позначити «потребує підтвердження замовником».</t>
        </is>
      </c>
    </row>
    <row r="10">
      <c r="A10" s="7" t="inlineStr">
        <is>
          <t>№36 · BL-70, BL-80 (немає вимоги) · Повнота
Автор: Тимчак А. (ТА)
Додано адвокатом</t>
        </is>
      </c>
      <c r="B10" s="7" t="inlineStr">
        <is>
          <t>Реальна прогалина (п. 2 чек-листа повноти): BL-70 дозволяє фіксований промокод до subtotal, а BL-50 дає знижку за обсяг окремо. Для subtotal 2000 грн: 2000 − 100 (5 %) − 2000 (промокод) = −100 грн. Правил сумісного застосування знижок немає.</t>
        </is>
      </c>
      <c r="C10" s="7" t="inlineStr">
        <is>
          <t>Виправлення додає нову вимогу BL-90, яка вирішує бізнес-питання (обрізання до 0.00) без позначки «потребує підтвердження замовником»: колонка «Примітка» порожня. Воно додає до суми вартість доставки, чого немає в BL-60 (shippingFee лише повертає вартість) — це вихід за межі дефекту. Методу «сума до оплати» в модулі немає, тож BL-90 вимагає нового API. Знайшов один автор. Простіше виправлення: обмежити фіксований промокод у BL-70 значенням subtotal мінус знижка за обсяг.</t>
        </is>
      </c>
      <c r="D10" s="7" t="inlineStr">
        <is>
          <t>Прийнято (повнота, п. 2). Виправлення переписує ТА перед SRS 1.1: обмежити фіксований промокод у BL-70 (не більше subtotal мінус знижка за обсяг) або BL-90 лише з обрізанням до 0.00 і без доставки; потребує підтвердження замовником.</t>
        </is>
      </c>
      <c r="E10" s="7" t="inlineStr">
        <is>
          <t>Команда (модерація: Коротка К., КТ), 08.10.2026</t>
        </is>
      </c>
      <c r="F10" s="7" t="inlineStr">
        <is>
          <t>Прийняти дефект, але переписати виправлення: або обмеження в BL-70 (фіксована сума не більша за subtotal мінус знижка за обсяг), або BL-90 лише з обрізанням до 0.00 і без доставки. Потребує підтвердження замовником.</t>
        </is>
      </c>
    </row>
    <row r="12" ht="32" customHeight="1">
      <c r="A12" s="10" t="inlineStr">
        <is>
          <t>ШопЛайн · Спринт 2 · 08.10.2026 · Аркуш веде: Горбонос О. (СМ), «адвокат замовника».</t>
        </is>
      </c>
    </row>
    <row r="13" ht="32" customHeight="1">
      <c r="A13" s="10" t="inlineStr">
        <is>
          <t>Рядки №8, 13, 16, 20, 31 позначила ТА як «спірне»; решту додано адвокатом за результатами перевірки реєстру (36 рядків) проти SRS 1.0 і беклогу спринта 1.</t>
        </is>
      </c>
    </row>
    <row r="14" ht="32" customHeight="1">
      <c r="A14" s="10" t="inlineStr">
        <is>
          <t>Стовпці «Рішення» і «Хто вирішив / дата» заповнюються після обговорення командою за модерації КТ; стовпець «Пропозиція адвоката» — чернетка, не рішення. Необґрунтовані рядки позначаються «відхилено після обговорення» і лишаються в «Реєстрі» зі статусом.</t>
        </is>
      </c>
    </row>
  </sheetData>
  <mergeCells count="3">
    <mergeCell ref="A13:F13"/>
    <mergeCell ref="A14:F14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1"/>
  <sheetViews>
    <sheetView zoomScale="9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24" customWidth="1" min="2" max="2"/>
    <col width="18" customWidth="1" min="3" max="3"/>
    <col width="26" customWidth="1" min="4" max="4"/>
    <col width="14" customWidth="1" min="5" max="5"/>
    <col width="80" customWidth="1" min="6" max="6"/>
    <col width="16" customWidth="1" min="7" max="7"/>
    <col width="24" customWidth="1" min="8" max="8"/>
    <col width="3" customWidth="1" min="9" max="9"/>
    <col width="32" customWidth="1" min="10" max="10"/>
    <col width="10" customWidth="1" min="11" max="11"/>
  </cols>
  <sheetData>
    <row r="1">
      <c r="A1" s="21" t="inlineStr">
        <is>
          <t>Артефакт/рядок</t>
        </is>
      </c>
      <c r="B1" s="21" t="inlineStr">
        <is>
          <t>Автор</t>
        </is>
      </c>
      <c r="C1" s="21" t="inlineStr">
        <is>
          <t>Рецензент</t>
        </is>
      </c>
      <c r="D1" s="21" t="inlineStr">
        <is>
          <t>Перевірені пункти</t>
        </is>
      </c>
      <c r="E1" s="21" t="inlineStr">
        <is>
          <t>Результат</t>
        </is>
      </c>
      <c r="F1" s="21" t="inlineStr">
        <is>
          <t>Зауваження</t>
        </is>
      </c>
      <c r="G1" s="21" t="inlineStr">
        <is>
          <t>Виправлено (дата)</t>
        </is>
      </c>
      <c r="H1" s="21" t="inlineStr">
        <is>
          <t>Повторне підтвердження (ПІБ, дата)</t>
        </is>
      </c>
      <c r="J1" s="25" t="inlineStr">
        <is>
          <t>Результат</t>
        </is>
      </c>
      <c r="K1" s="25" t="inlineStr">
        <is>
          <t>Рядків</t>
        </is>
      </c>
    </row>
    <row r="2">
      <c r="A2" s="22" t="inlineStr">
        <is>
          <t>Реєстр №1 · 2.2 ↔ розд. 6 (вимога про 375 px, без ID) · Несуперечливість</t>
        </is>
      </c>
      <c r="B2" s="22" t="inlineStr">
        <is>
          <t>Горбонос О. (СМ), Коротка К. (КТ)</t>
        </is>
      </c>
      <c r="C2" s="22" t="inlineStr">
        <is>
          <t>Дрєпіна А. (ІТ)</t>
        </is>
      </c>
      <c r="D2" s="22" t="inlineStr">
        <is>
          <t>—</t>
        </is>
      </c>
      <c r="E2" s="22" t="inlineStr">
        <is>
          <t>очікує ІТ</t>
        </is>
      </c>
      <c r="F2" s="22" t="inlineStr">
        <is>
          <t>СМ і КТ — співавтори рядка, тому рецензує ІТ (не автор цього рядка). Рецензія ІТ ще не внесена.</t>
        </is>
      </c>
      <c r="G2" s="22" t="n"/>
      <c r="H2" s="22" t="n"/>
      <c r="J2" s="28" t="inlineStr">
        <is>
          <t>пройшло</t>
        </is>
      </c>
      <c r="K2" s="26">
        <f>COUNTIF($E$2:$E$72,J2)</f>
        <v/>
      </c>
    </row>
    <row r="3">
      <c r="A3" s="22" t="inlineStr">
        <is>
          <t>Реєстр №2 · F-10 · Повнота</t>
        </is>
      </c>
      <c r="B3" s="22" t="inlineStr">
        <is>
          <t>Тимчак А. (ТА)</t>
        </is>
      </c>
      <c r="C3" s="22" t="inlineStr">
        <is>
          <t>Горбонос О. (СМ)</t>
        </is>
      </c>
      <c r="D3" s="22" t="inlineStr">
        <is>
          <t>1✓ 2✓ 3✓ 4✓ 5✓ 6✗ 7✓</t>
        </is>
      </c>
      <c r="E3" s="22" t="inlineStr">
        <is>
          <t>не пройшло</t>
        </is>
      </c>
      <c r="F3" s="22" t="inlineStr">
        <is>
          <t>Виправлення робить «область (штат)» необов'язковою, але на demo поле state обов'язкове (aria-required=true у формі реєстрації, перевірено 12.10.2026), а F-110 (крок 3) включає область до адреси доставки. Узгодити: або «область» стає обов'язковою, або змінити F-110; позначити «потребує підтвердження замовником». Повернено ТА.</t>
        </is>
      </c>
      <c r="G3" s="22" t="n"/>
      <c r="H3" s="22" t="n"/>
      <c r="J3" s="28" t="inlineStr">
        <is>
          <t>не пройшло</t>
        </is>
      </c>
      <c r="K3" s="26">
        <f>COUNTIF($E$2:$E$72,J3)</f>
        <v/>
      </c>
    </row>
    <row r="4">
      <c r="A4" s="22" t="inlineStr">
        <is>
          <t>Реєстр №3 · F-10 · Повнота</t>
        </is>
      </c>
      <c r="B4" s="22" t="inlineStr">
        <is>
          <t>Тимчак А. (ТА)</t>
        </is>
      </c>
      <c r="C4" s="22" t="inlineStr">
        <is>
          <t>Горбонос О. (СМ)</t>
        </is>
      </c>
      <c r="D4" s="22" t="inlineStr">
        <is>
          <t>1✓ 2✓ 3✓ 4✓ 5✓ 6✓ 7✓</t>
        </is>
      </c>
      <c r="E4" s="22" t="inlineStr">
        <is>
          <t>пройшло</t>
        </is>
      </c>
      <c r="F4" s="22" t="inlineStr">
        <is>
          <t>Редакційне: текст «A customer with this email address already exists.» не звірено з demo (потрібна реєстрація з наявним email); у Примітці вже стоїть «потребує підтвердження замовником».</t>
        </is>
      </c>
      <c r="G4" s="22" t="n"/>
      <c r="H4" s="22" t="n"/>
      <c r="J4" s="28" t="inlineStr">
        <is>
          <t>очікує КТ</t>
        </is>
      </c>
      <c r="K4" s="26">
        <f>COUNTIF($E$2:$E$72,J4)</f>
        <v/>
      </c>
    </row>
    <row r="5">
      <c r="A5" s="22" t="inlineStr">
        <is>
          <t>Реєстр №4 · F-20 · Однозначність</t>
        </is>
      </c>
      <c r="B5" s="22" t="inlineStr">
        <is>
          <t>Горбонос О. (СМ), Тимчак А. (ТА)</t>
        </is>
      </c>
      <c r="C5" s="22" t="inlineStr">
        <is>
          <t>Коротка К. (КТ)</t>
        </is>
      </c>
      <c r="D5" s="22" t="inlineStr">
        <is>
          <t>1✓ 2✓ 3✓ 4✓ 5✓ 6✗ 7✓</t>
        </is>
      </c>
      <c r="E5" s="22" t="inlineStr">
        <is>
          <t>не пройшло</t>
        </is>
      </c>
      <c r="F5" s="22" t="inlineStr">
        <is>
          <t>СМ — автор рядка, рецензує КТ (правило незалежності). Рецензія КТ (Коротка К.), 12.10.2026: варіант ТА («перенаправляє … на сторінку особистого кабінету (F-130)») суперечить F-110: після входу на кроці 2 «Sign in» покупець переходить на крок 3, а не в кабінет. Варіант СМ цю ситуацію враховує. Обрати варіант СМ і прибрати варіант ТА до SRS 1.1. Повернено ТА.</t>
        </is>
      </c>
      <c r="G5" s="22" t="n"/>
      <c r="H5" s="22" t="n"/>
      <c r="J5" s="28" t="inlineStr">
        <is>
          <t>очікує ІТ</t>
        </is>
      </c>
      <c r="K5" s="26">
        <f>COUNTIF($E$2:$E$72,J5)</f>
        <v/>
      </c>
    </row>
    <row r="6">
      <c r="A6" s="22" t="inlineStr">
        <is>
          <t>Реєстр №5 · F-30 · Здійсненність</t>
        </is>
      </c>
      <c r="B6" s="22" t="inlineStr">
        <is>
          <t>Горбонос О. (СМ), Тимчак А. (ТА)</t>
        </is>
      </c>
      <c r="C6" s="22" t="inlineStr">
        <is>
          <t>Коротка К. (КТ)</t>
        </is>
      </c>
      <c r="D6" s="22" t="inlineStr">
        <is>
          <t>1✓ 2✓ 3✓ 4✓ 5✓ 6✓ 7✓</t>
        </is>
      </c>
      <c r="E6" s="22" t="inlineStr">
        <is>
          <t>пройшло</t>
        </is>
      </c>
      <c r="F6" s="22" t="inlineStr">
        <is>
          <t>СМ — автор рядка, рецензує КТ (правило незалежності). Рецензія КТ (Коротка К.), 12.10.2026: цитата F-30 дослівна; здійсненність — головний критерій (доставка залежить від стороннього провайдера). Редакційне: два варіанти (1 с / 5 с) — обрати один до SRS 1.1; час передачі вже позначено «потребує підтвердження замовником».</t>
        </is>
      </c>
      <c r="G6" s="22" t="n"/>
      <c r="H6" s="22" t="n"/>
      <c r="J6" s="28" t="inlineStr">
        <is>
          <t>очікує коміт ІТ</t>
        </is>
      </c>
      <c r="K6" s="26">
        <f>COUNTIF($E$2:$E$72,J6)</f>
        <v/>
      </c>
    </row>
    <row r="7">
      <c r="A7" s="22" t="inlineStr">
        <is>
          <t>Реєстр №6 · F-40 ↔ GUI-20 · Несуперечливість</t>
        </is>
      </c>
      <c r="B7" s="22" t="inlineStr">
        <is>
          <t>Горбонос О. (СМ), Коротка К. (КТ), Дрєпіна А. (ІТ), Тимчак А. (ТА)</t>
        </is>
      </c>
      <c r="C7" s="22" t="inlineStr">
        <is>
          <t>—</t>
        </is>
      </c>
      <c r="D7" s="22" t="inlineStr">
        <is>
          <t>—</t>
        </is>
      </c>
      <c r="E7" s="22" t="inlineStr">
        <is>
          <t>немає незалежного рецензента</t>
        </is>
      </c>
      <c r="F7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</t>
        </is>
      </c>
      <c r="G7" s="22" t="n"/>
      <c r="H7" s="22" t="n"/>
      <c r="J7" s="28" t="inlineStr">
        <is>
          <t>очікує SRS 1.1</t>
        </is>
      </c>
      <c r="K7" s="26">
        <f>COUNTIF($E$2:$E$72,J7)</f>
        <v/>
      </c>
    </row>
    <row r="8">
      <c r="A8" s="22" t="inlineStr">
        <is>
          <t>Реєстр №7 · F-50 · Однозначність</t>
        </is>
      </c>
      <c r="B8" s="22" t="inlineStr">
        <is>
          <t>Тимчак А. (ТА)</t>
        </is>
      </c>
      <c r="C8" s="22" t="inlineStr">
        <is>
          <t>Горбонос О. (СМ)</t>
        </is>
      </c>
      <c r="D8" s="22" t="inlineStr">
        <is>
          <t>1✓ 2✓ 3✓ 4✓ 5✓ 6✓ 7✓</t>
        </is>
      </c>
      <c r="E8" s="22" t="inlineStr">
        <is>
          <t>пройшло</t>
        </is>
      </c>
      <c r="F8" s="22" t="inlineStr">
        <is>
          <t>Звірено на demo через API: дві категорії 7+3=10 товарів (об'єднання, «АБО»); два бренди 40+10=50; категорія+бренд = 6 ≤ 7 (перетин, «І»). Виправлення відповідає поведінці demo.</t>
        </is>
      </c>
      <c r="G8" s="22" t="n"/>
      <c r="H8" s="22" t="n"/>
      <c r="J8" s="28" t="inlineStr">
        <is>
          <t>немає незалежного рецензента</t>
        </is>
      </c>
      <c r="K8" s="26">
        <f>COUNTIF($E$2:$E$72,J8)</f>
        <v/>
      </c>
    </row>
    <row r="9">
      <c r="A9" s="22" t="inlineStr">
        <is>
          <t>Реєстр №8 · F-50 · Тестопридатність</t>
        </is>
      </c>
      <c r="B9" s="22" t="inlineStr">
        <is>
          <t>Тимчак А. (ТА)</t>
        </is>
      </c>
      <c r="C9" s="22" t="inlineStr">
        <is>
          <t>Горбонос О. (СМ)</t>
        </is>
      </c>
      <c r="D9" s="22" t="inlineStr">
        <is>
          <t>1✓ 2✓ 3✓ 4–6 н/з 7✓</t>
        </is>
      </c>
      <c r="E9" s="22" t="inlineStr">
        <is>
          <t>пройшло</t>
        </is>
      </c>
      <c r="F9" s="22" t="inlineStr">
        <is>
          <t>Рядок відхилено: рішення «відхилено після обговорення» і підпис КТ (08.10.2026) є в «Спірні». Редакційне (ТА): Примітка в «Реєстрі» містить чернетку («узгодити один критерій») — замінити посиланням на рішення «Спірні».</t>
        </is>
      </c>
      <c r="G9" s="22" t="n"/>
      <c r="H9" s="22" t="n"/>
      <c r="J9" s="27" t="inlineStr">
        <is>
          <t>Разом</t>
        </is>
      </c>
      <c r="K9" s="28">
        <f>SUM(K2:K8)</f>
        <v/>
      </c>
    </row>
    <row r="10">
      <c r="A10" s="22" t="inlineStr">
        <is>
          <t>Реєстр №9 · F-60 · Однозначність</t>
        </is>
      </c>
      <c r="B10" s="22" t="inlineStr">
        <is>
          <t>Горбонос О. (СМ), Тимчак А. (ТА)</t>
        </is>
      </c>
      <c r="C10" s="22" t="inlineStr">
        <is>
          <t>Коротка К. (КТ)</t>
        </is>
      </c>
      <c r="D10" s="22" t="inlineStr">
        <is>
          <t>1✓ 2✓ 3✓ 4✓ 5✓ 6✓ 7✓</t>
        </is>
      </c>
      <c r="E10" s="22" t="inlineStr">
        <is>
          <t>пройшло</t>
        </is>
      </c>
      <c r="F10" s="22" t="inlineStr">
        <is>
          <t>СМ — автор рядка, рецензує КТ (правило незалежності). Рецензія КТ (Коротка К.), 12.10.2026: цитата F-60 дослівна; «схожі» допускає кілька тлумачень (п. 4). Одне спільне виправлення (підрядок без урахування регістру), звірене з demo.</t>
        </is>
      </c>
      <c r="G10" s="22" t="n"/>
      <c r="H10" s="22" t="n"/>
    </row>
    <row r="11">
      <c r="A11" s="22" t="inlineStr">
        <is>
          <t>Реєстр №10 · F-90 · Тестопридатність</t>
        </is>
      </c>
      <c r="B11" s="22" t="inlineStr">
        <is>
          <t>Горбонос О. (СМ), Тимчак А. (ТА)</t>
        </is>
      </c>
      <c r="C11" s="22" t="inlineStr">
        <is>
          <t>Коротка К. (КТ)</t>
        </is>
      </c>
      <c r="D11" s="22" t="inlineStr">
        <is>
          <t>1✓ 2✓ 3✓ 4✓ 5✓ 6✓ 7✓</t>
        </is>
      </c>
      <c r="E11" s="22" t="inlineStr">
        <is>
          <t>пройшло</t>
        </is>
      </c>
      <c r="F11" s="22" t="inlineStr">
        <is>
          <t>СМ — автор рядка, рецензує КТ (правило незалежності). Рецензія КТ (Коротка К.), 12.10.2026: цитата F-90 дослівна; слова-маркери «миттєво», «без помилок» — тестопридатність. Редакційне: два варіанти (1 с / 2 с, різний спосіб спостереження) — обрати один до SRS 1.1; у варіанті ТА до «2 с» і тексту повідомлення додати «потребує підтвердження замовником».</t>
        </is>
      </c>
      <c r="G11" s="22" t="n"/>
      <c r="H11" s="22" t="n"/>
    </row>
    <row r="12">
      <c r="A12" s="22" t="inlineStr">
        <is>
          <t>Реєстр №11 · F-100 · Повнота</t>
        </is>
      </c>
      <c r="B12" s="22" t="inlineStr">
        <is>
          <t>Горбонос О. (СМ), Коротка К. (КТ), Тимчак А. (ТА)</t>
        </is>
      </c>
      <c r="C12" s="22" t="inlineStr">
        <is>
          <t>Дрєпіна А. (ІТ)</t>
        </is>
      </c>
      <c r="D12" s="22" t="inlineStr">
        <is>
          <t>—</t>
        </is>
      </c>
      <c r="E12" s="22" t="inlineStr">
        <is>
          <t>очікує ІТ</t>
        </is>
      </c>
      <c r="F12" s="22" t="inlineStr">
        <is>
          <t>СМ і КТ — співавтори рядка, тому рецензує ІТ (не автор цього рядка). Рецензія ІТ ще не внесена.</t>
        </is>
      </c>
      <c r="G12" s="22" t="n"/>
      <c r="H12" s="22" t="n"/>
    </row>
    <row r="13">
      <c r="A13" s="22" t="inlineStr">
        <is>
          <t>Реєстр №12 · F-110 ↔ BL-60 · Несуперечливість</t>
        </is>
      </c>
      <c r="B13" s="22" t="inlineStr">
        <is>
          <t>Горбонос О. (СМ), Коротка К. (КТ), Дрєпіна А. (ІТ), Тимчак А. (ТА)</t>
        </is>
      </c>
      <c r="C13" s="22" t="inlineStr">
        <is>
          <t>—</t>
        </is>
      </c>
      <c r="D13" s="22" t="inlineStr">
        <is>
          <t>—</t>
        </is>
      </c>
      <c r="E13" s="22" t="inlineStr">
        <is>
          <t>немає незалежного рецензента</t>
        </is>
      </c>
      <c r="F13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 Рядок переписано в PR #23 (SCRUM-56).</t>
        </is>
      </c>
      <c r="G13" s="22" t="n"/>
      <c r="H13" s="22" t="n"/>
    </row>
    <row r="14">
      <c r="A14" s="22" t="inlineStr">
        <is>
          <t>Реєстр №13 · F-110 ↔ розд. 2.3, пункт 3 · Несуперечливість</t>
        </is>
      </c>
      <c r="B14" s="22" t="inlineStr">
        <is>
          <t>Тимчак А. (ТА)</t>
        </is>
      </c>
      <c r="C14" s="22" t="inlineStr">
        <is>
          <t>Горбонос О. (СМ)</t>
        </is>
      </c>
      <c r="D14" s="22" t="inlineStr">
        <is>
          <t>1✓ 2✓ 3✓ 4✓ 5✓ 6✗ 7✓</t>
        </is>
      </c>
      <c r="E14" s="22" t="inlineStr">
        <is>
          <t>не пройшло</t>
        </is>
      </c>
      <c r="F14" s="22" t="inlineStr">
        <is>
          <t>На main виправлення (вилучити знижки з підсумку) суперечить рішенню SCRUM-55 («вимога нової функції») і виправленню №12. Переписано в PR #23 (SCRUM-56, відкритий, approve КТ 10.10). Повторне підтвердження — після merge.</t>
        </is>
      </c>
      <c r="G14" s="22" t="n"/>
      <c r="H14" s="22" t="n"/>
    </row>
    <row r="15">
      <c r="A15" s="22" t="inlineStr">
        <is>
          <t>Реєстр №14 · F-120 ↔ GUI-40 · Несуперечливість</t>
        </is>
      </c>
      <c r="B15" s="22" t="inlineStr">
        <is>
          <t>Горбонос О. (СМ), Коротка К. (КТ), Дрєпіна А. (ІТ), Тимчак А. (ТА)</t>
        </is>
      </c>
      <c r="C15" s="22" t="inlineStr">
        <is>
          <t>—</t>
        </is>
      </c>
      <c r="D15" s="22" t="inlineStr">
        <is>
          <t>—</t>
        </is>
      </c>
      <c r="E15" s="22" t="inlineStr">
        <is>
          <t>немає незалежного рецензента</t>
        </is>
      </c>
      <c r="F15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</t>
        </is>
      </c>
      <c r="G15" s="22" t="n"/>
      <c r="H15" s="22" t="n"/>
    </row>
    <row r="16">
      <c r="A16" s="22" t="inlineStr">
        <is>
          <t>Реєстр №15 · F-140 · Повнота</t>
        </is>
      </c>
      <c r="B16" s="22" t="inlineStr">
        <is>
          <t>Горбонос О. (СМ), Тимчак А. (ТА)</t>
        </is>
      </c>
      <c r="C16" s="22" t="inlineStr">
        <is>
          <t>Коротка К. (КТ)</t>
        </is>
      </c>
      <c r="D16" s="22" t="inlineStr">
        <is>
          <t>1✓ 2✓ 3✓ 4✓ 5✓ 6✓ 7✓</t>
        </is>
      </c>
      <c r="E16" s="22" t="inlineStr">
        <is>
          <t>пройшло</t>
        </is>
      </c>
      <c r="F16" s="22" t="inlineStr">
        <is>
          <t>СМ — автор рядка, рецензує КТ (правило незалежності). Рецензія КТ (Коротка К.), 12.10.2026: цитата F-140 дослівна; не задано формат, розмір вкладення і реакцію на недопустимий файл (пп. 4, 5). Редакційне: варіанти суперечать один одному (PDF/PNG/JPG/TXT до 5 МБ / .txt до 500 КБ; максимальна довжина повідомлення лише у ТА) — обрати один до SRS 1.1.</t>
        </is>
      </c>
      <c r="G16" s="22" t="n"/>
      <c r="H16" s="22" t="n"/>
    </row>
    <row r="17">
      <c r="A17" s="22" t="inlineStr">
        <is>
          <t>Реєстр №16 · GUI-10 · Повнота</t>
        </is>
      </c>
      <c r="B17" s="22" t="inlineStr">
        <is>
          <t>Коротка К. (КТ)</t>
        </is>
      </c>
      <c r="C17" s="22" t="inlineStr">
        <is>
          <t>Горбонос О. (СМ)</t>
        </is>
      </c>
      <c r="D17" s="22" t="inlineStr">
        <is>
          <t>1✓ 2✓ 3✓ 4–6 н/з 7✓</t>
        </is>
      </c>
      <c r="E17" s="22" t="inlineStr">
        <is>
          <t>пройшло</t>
        </is>
      </c>
      <c r="F17" s="22" t="inlineStr">
        <is>
          <t>Рядок відхилено; рішення (питання замовнику на демо про мови перемикача) зафіксовано в «Спірні». Редакційне (ТА): Примітка «Сумнівний…» застаріла — додати посилання на рішення.</t>
        </is>
      </c>
      <c r="G17" s="22" t="n"/>
      <c r="H17" s="22" t="n"/>
    </row>
    <row r="18">
      <c r="A18" s="22" t="inlineStr">
        <is>
          <t>Реєстр №17 · GUI-30 ↔ BL-10, BL-40 · Несуперечливість</t>
        </is>
      </c>
      <c r="B18" s="22" t="inlineStr">
        <is>
          <t>Коротка К. (КТ), Дрєпіна А. (ІТ), Тимчак А. (ТА)</t>
        </is>
      </c>
      <c r="C18" s="22" t="inlineStr">
        <is>
          <t>Горбонос О. (СМ)</t>
        </is>
      </c>
      <c r="D18" s="22" t="inlineStr">
        <is>
          <t>1✓ 2✓ 3✓ 4✓ 5✓ 6✓ 7✓</t>
        </is>
      </c>
      <c r="E18" s="22" t="inlineStr">
        <is>
          <t>пройшло</t>
        </is>
      </c>
      <c r="F18" s="22" t="inlineStr">
        <is>
          <t>Цитати дослівні: GUI-30 «від 0 до 100»; BL-10 і BL-40 «від 1 до 99 включно». Три виправлення збігаються.</t>
        </is>
      </c>
      <c r="G18" s="22" t="n"/>
      <c r="H18" s="22" t="n"/>
    </row>
    <row r="19">
      <c r="A19" s="22" t="inlineStr">
        <is>
          <t>Реєстр №18 · GUI-50 · Однозначність</t>
        </is>
      </c>
      <c r="B19" s="22" t="inlineStr">
        <is>
          <t>Коротка К. (КТ), Дрєпіна А. (ІТ)</t>
        </is>
      </c>
      <c r="C19" s="22" t="inlineStr">
        <is>
          <t>Горбонос О. (СМ)</t>
        </is>
      </c>
      <c r="D19" s="22" t="inlineStr">
        <is>
          <t>1✓ 2✓ 3✓ 4✓ 5✓ 6✓ 7✓</t>
        </is>
      </c>
      <c r="E19" s="22" t="inlineStr">
        <is>
          <t>пройшло</t>
        </is>
      </c>
      <c r="F19" s="22" t="inlineStr">
        <is>
          <t>Пп. 1 і 4 однозначності названо за офіційним чек-листом; «або» дає два допустимі місця виведення — дефект підтверджено.</t>
        </is>
      </c>
      <c r="G19" s="22" t="n"/>
      <c r="H19" s="22" t="n"/>
    </row>
    <row r="20">
      <c r="A20" s="22" t="inlineStr">
        <is>
          <t>Реєстр №19 · GUI-60 (два рядки) · Простежуваність</t>
        </is>
      </c>
      <c r="B20" s="22" t="inlineStr">
        <is>
          <t>Коротка К. (КТ), Дрєпіна А. (ІТ), Тимчак А. (ТА)</t>
        </is>
      </c>
      <c r="C20" s="22" t="inlineStr">
        <is>
          <t>Горбонос О. (СМ)</t>
        </is>
      </c>
      <c r="D20" s="22" t="inlineStr">
        <is>
          <t>1✓ 2✓ 3✓ 4✓ 5✓ 6✓ 7✓</t>
        </is>
      </c>
      <c r="E20" s="22" t="inlineStr">
        <is>
          <t>пройшло</t>
        </is>
      </c>
      <c r="F20" s="22" t="inlineStr">
        <is>
          <t>Дублікат підтверджено в SRS 1.0 (два рядки GUI-60 у розд. 4). GUI-65 вільний (крок 10), решта ID не змінюється.</t>
        </is>
      </c>
      <c r="G20" s="22" t="n"/>
      <c r="H20" s="22" t="n"/>
    </row>
    <row r="21">
      <c r="A21" s="22" t="inlineStr">
        <is>
          <t>Реєстр №20 · GUI-70 · Однозначність</t>
        </is>
      </c>
      <c r="B21" s="22" t="inlineStr">
        <is>
          <t>Коротка К. (КТ)</t>
        </is>
      </c>
      <c r="C21" s="22" t="inlineStr">
        <is>
          <t>Горбонос О. (СМ)</t>
        </is>
      </c>
      <c r="D21" s="22" t="inlineStr">
        <is>
          <t>1✓ 2✓ 3✓ 4–6 н/з 7✓</t>
        </is>
      </c>
      <c r="E21" s="22" t="inlineStr">
        <is>
          <t>пройшло</t>
        </is>
      </c>
      <c r="F21" s="22" t="inlineStr">
        <is>
          <t>Рядок відхилено; рішення зафіксовано в «Спірні». Редакційне (ТА): Примітка («Сумнівний…») застаріла.</t>
        </is>
      </c>
      <c r="G21" s="22" t="n"/>
      <c r="H21" s="22" t="n"/>
    </row>
    <row r="22">
      <c r="A22" s="22" t="inlineStr">
        <is>
          <t>Реєстр №21 · GUI-80 · Здійсненність</t>
        </is>
      </c>
      <c r="B22" s="22" t="inlineStr">
        <is>
          <t>Коротка К. (КТ), Дрєпіна А. (ІТ)</t>
        </is>
      </c>
      <c r="C22" s="22" t="inlineStr">
        <is>
          <t>Горбонос О. (СМ)</t>
        </is>
      </c>
      <c r="D22" s="22" t="inlineStr">
        <is>
          <t>1✓ 2✓ 3✓ 4✓ 5✓ 6✓ 7✓</t>
        </is>
      </c>
      <c r="E22" s="22" t="inlineStr">
        <is>
          <t>пройшло</t>
        </is>
      </c>
      <c r="F22" s="22" t="inlineStr">
        <is>
          <t>Розрахунок автора перевірено: 7680×4320×3 байти ≈ 99,5 МБ; за 50 мс це ≈ 16 Гбіт/с. Два виправлення суперечать одне одному (≥1200×1200 / ≤800×800) — ТА обирає один варіант до внесення в SRS 1.1 (перевіряється в рядках «SRS 1.1» нижче).</t>
        </is>
      </c>
      <c r="G22" s="22" t="n"/>
      <c r="H22" s="22" t="n"/>
    </row>
    <row r="23">
      <c r="A23" s="22" t="inlineStr">
        <is>
          <t>Реєстр №22 · GUI-100 · Тестопридатність</t>
        </is>
      </c>
      <c r="B23" s="22" t="inlineStr">
        <is>
          <t>Коротка К. (КТ), Дрєпіна А. (ІТ)</t>
        </is>
      </c>
      <c r="C23" s="22" t="inlineStr">
        <is>
          <t>Горбонос О. (СМ)</t>
        </is>
      </c>
      <c r="D23" s="22" t="inlineStr">
        <is>
          <t>1✓ 2✓ 3✓ 4✓ 5✓ 6✓ 7✓</t>
        </is>
      </c>
      <c r="E23" s="22" t="inlineStr">
        <is>
          <t>пройшло</t>
        </is>
      </c>
      <c r="F23" s="22" t="inlineStr">
        <is>
          <t>GUI-100 існує в SRS (ID розбито переносом «GUI-/100»); показники вимірювані (4,5:1; 3:1; 14 px), позначка замовника є.</t>
        </is>
      </c>
      <c r="G23" s="22" t="n"/>
      <c r="H23" s="22" t="n"/>
    </row>
    <row r="24">
      <c r="A24" s="22" t="inlineStr">
        <is>
          <t>Реєстр №23 · P-10 · Здійсненність</t>
        </is>
      </c>
      <c r="B24" s="22" t="inlineStr">
        <is>
          <t>Коротка К. (КТ), Дрєпіна А. (ІТ)</t>
        </is>
      </c>
      <c r="C24" s="22" t="inlineStr">
        <is>
          <t>Горбонос О. (СМ)</t>
        </is>
      </c>
      <c r="D24" s="22" t="inlineStr">
        <is>
          <t>1✓ 2✓ 3✓ 4✓ 5✓ 6✓ 7✓</t>
        </is>
      </c>
      <c r="E24" s="22" t="inlineStr">
        <is>
          <t>пройшло</t>
        </is>
      </c>
      <c r="F24" s="22" t="inlineStr">
        <is>
          <t>P-20 дозволяє відповідь API до 1 с, тому 0,1 с для сторінки нереальні — здійсненність підтверджено. Варіанти різні (3 с / 10 Мбіт/с; 2 с / 15 Мбіт/с) — обрати один до SRS 1.1.</t>
        </is>
      </c>
      <c r="G24" s="22" t="n"/>
      <c r="H24" s="22" t="n"/>
    </row>
    <row r="25">
      <c r="A25" s="22" t="inlineStr">
        <is>
          <t>Реєстр №24 · S-10 · Тестопридатність</t>
        </is>
      </c>
      <c r="B25" s="22" t="inlineStr">
        <is>
          <t>Коротка К. (КТ), Дрєпіна А. (ІТ)</t>
        </is>
      </c>
      <c r="C25" s="22" t="inlineStr">
        <is>
          <t>Горбонос О. (СМ)</t>
        </is>
      </c>
      <c r="D25" s="22" t="inlineStr">
        <is>
          <t>1✓ 2✓ 3✓ 4✓ 5✓ 6✓ 7✓</t>
        </is>
      </c>
      <c r="E25" s="22" t="inlineStr">
        <is>
          <t>пройшло</t>
        </is>
      </c>
      <c r="F25" s="22" t="inlineStr">
        <is>
          <t>Варіанти КТ і ІТ сумісні (bcrypt, HTTPS) — об'єднати до SRS 1.1. Головний критерій — тестопридатність (пояснено в Примітці), «не містить вразливостей» порушує ще й здійсненність.</t>
        </is>
      </c>
      <c r="G25" s="22" t="n"/>
      <c r="H25" s="22" t="n"/>
    </row>
    <row r="26">
      <c r="A26" s="22" t="inlineStr">
        <is>
          <t>Реєстр №25 · U-10 · Тестопридатність</t>
        </is>
      </c>
      <c r="B26" s="22" t="inlineStr">
        <is>
          <t>Коротка К. (КТ), Дрєпіна А. (ІТ)</t>
        </is>
      </c>
      <c r="C26" s="22" t="inlineStr">
        <is>
          <t>Горбонос О. (СМ)</t>
        </is>
      </c>
      <c r="D26" s="22" t="inlineStr">
        <is>
          <t>1✓ 2✓ 3✓ 4✓ 5✓ 6✓ 7✓</t>
        </is>
      </c>
      <c r="E26" s="22" t="inlineStr">
        <is>
          <t>пройшло</t>
        </is>
      </c>
      <c r="F26" s="22" t="inlineStr">
        <is>
          <t>Варіанти різняться методикою (4 з 5 / 90 % з 10); план (тип 3) використовує варіант ІТ — після вибору варіанта синхронізувати.</t>
        </is>
      </c>
      <c r="G26" s="22" t="n"/>
      <c r="H26" s="22" t="n"/>
    </row>
    <row r="27">
      <c r="A27" s="22" t="inlineStr">
        <is>
          <t>Реєстр №26 · розд. 6, між U-20 і D-10 (без ID) · Простежуваність</t>
        </is>
      </c>
      <c r="B27" s="22" t="inlineStr">
        <is>
          <t>Коротка К. (КТ), Дрєпіна А. (ІТ)</t>
        </is>
      </c>
      <c r="C27" s="22" t="inlineStr">
        <is>
          <t>Горбонос О. (СМ)</t>
        </is>
      </c>
      <c r="D27" s="22" t="inlineStr">
        <is>
          <t>1✓ 2✓ 3✓ 4✓ 5✓ 6✓ 7✓</t>
        </is>
      </c>
      <c r="E27" s="22" t="inlineStr">
        <is>
          <t>пройшло</t>
        </is>
      </c>
      <c r="F27" s="22" t="inlineStr">
        <is>
          <t>Локатор існує: окремий рядок розд. 6 між U-20 і D-10 без ID. U-30 вільний (U-10, U-20 → крок 10).</t>
        </is>
      </c>
      <c r="G27" s="22" t="n"/>
      <c r="H27" s="22" t="n"/>
    </row>
    <row r="28">
      <c r="A28" s="22" t="inlineStr">
        <is>
          <t>Реєстр №27 · D-10 · Повнота</t>
        </is>
      </c>
      <c r="B28" s="22" t="inlineStr">
        <is>
          <t>Коротка К. (КТ), Дрєпіна А. (ІТ)</t>
        </is>
      </c>
      <c r="C28" s="22" t="inlineStr">
        <is>
          <t>Горбонос О. (СМ)</t>
        </is>
      </c>
      <c r="D28" s="22" t="inlineStr">
        <is>
          <t>1✓ 2✓ 3✓ 4✓ 5✓ 6✓ 7✓</t>
        </is>
      </c>
      <c r="E28" s="22" t="inlineStr">
        <is>
          <t>пройшло</t>
        </is>
      </c>
      <c r="F28" s="22" t="inlineStr">
        <is>
          <t>«Регламент … ШопЛайн-ЛП-2025» у 1.4 «Посилання» відсутній (4 пункти) — підтверджено.</t>
        </is>
      </c>
      <c r="G28" s="22" t="n"/>
      <c r="H28" s="22" t="n"/>
    </row>
    <row r="29">
      <c r="A29" s="22" t="inlineStr">
        <is>
          <t>Реєстр №28 · BL-10 · Однозначність</t>
        </is>
      </c>
      <c r="B29" s="22" t="inlineStr">
        <is>
          <t>Дрєпіна А. (ІТ)</t>
        </is>
      </c>
      <c r="C29" s="22" t="inlineStr">
        <is>
          <t>Горбонос О. (СМ)</t>
        </is>
      </c>
      <c r="D29" s="22" t="inlineStr">
        <is>
          <t>1✓ 2✓ 3✓ 4✓ 5✓ 6✓ 7✓</t>
        </is>
      </c>
      <c r="E29" s="22" t="inlineStr">
        <is>
          <t>пройшло</t>
        </is>
      </c>
      <c r="F29" s="22" t="inlineStr">
        <is>
          <t>Редакційне: «unitPrice &gt; 0» в описі — скорочення автора в лапках, не цитата SRS (решта цитат дослівні). Виправлення №28 і №29 правлять одне речення BL-10 — у SRS 1.1 вносити одним записом, щоб не втратити «name».</t>
        </is>
      </c>
      <c r="G29" s="22" t="n"/>
      <c r="H29" s="22" t="n"/>
    </row>
    <row r="30">
      <c r="A30" s="22" t="inlineStr">
        <is>
          <t>Реєстр №29 · BL-10 · Повнота</t>
        </is>
      </c>
      <c r="B30" s="22" t="inlineStr">
        <is>
          <t>Тимчак А. (ТА)</t>
        </is>
      </c>
      <c r="C30" s="22" t="inlineStr">
        <is>
          <t>Горбонос О. (СМ)</t>
        </is>
      </c>
      <c r="D30" s="22" t="inlineStr">
        <is>
          <t>1✓ 2✓ 3✓ 4✓ 5✓ 6✓ 7✓</t>
        </is>
      </c>
      <c r="E30" s="22" t="inlineStr">
        <is>
          <t>пройшло</t>
        </is>
      </c>
      <c r="F30" s="22" t="inlineStr">
        <is>
          <t>Редакційне: правило «name — непорожній рядок» є новою вимогою — додати в Примітку «потребує підтвердження замовником».</t>
        </is>
      </c>
      <c r="G30" s="22" t="n"/>
      <c r="H30" s="22" t="n"/>
    </row>
    <row r="31">
      <c r="A31" s="22" t="inlineStr">
        <is>
          <t>Реєстр №30 · BL-30 ↔ BL-20 · Простежуваність</t>
        </is>
      </c>
      <c r="B31" s="22" t="inlineStr">
        <is>
          <t>Коротка К. (КТ), Дрєпіна А. (ІТ), Тимчак А. (ТА)</t>
        </is>
      </c>
      <c r="C31" s="22" t="inlineStr">
        <is>
          <t>Горбонос О. (СМ)</t>
        </is>
      </c>
      <c r="D31" s="22" t="inlineStr">
        <is>
          <t>1✓ 2✓ 3✓ 4✓ 5✓ 6✓ 7✓</t>
        </is>
      </c>
      <c r="E31" s="22" t="inlineStr">
        <is>
          <t>пройшло</t>
        </is>
      </c>
      <c r="F31" s="22" t="inlineStr">
        <is>
          <t>BL-30 за змістом повторює BL-20 (BL-20 повніше: ліміт 99); вилучення BL-30 без перевикористання номера відповідає п. 1 простежуваності.</t>
        </is>
      </c>
      <c r="G31" s="22" t="n"/>
      <c r="H31" s="22" t="n"/>
    </row>
    <row r="32">
      <c r="A32" s="22" t="inlineStr">
        <is>
          <t>Реєстр №31 · BL-40 · Простежуваність</t>
        </is>
      </c>
      <c r="B32" s="22" t="inlineStr">
        <is>
          <t>Тимчак А. (ТА)</t>
        </is>
      </c>
      <c r="C32" s="22" t="inlineStr">
        <is>
          <t>Горбонос О. (СМ)</t>
        </is>
      </c>
      <c r="D32" s="22" t="inlineStr">
        <is>
          <t>1✓ 2✓ 3✓ 4–6 н/з 7✓</t>
        </is>
      </c>
      <c r="E32" s="22" t="inlineStr">
        <is>
          <t>пройшло</t>
        </is>
      </c>
      <c r="F32" s="22" t="inlineStr">
        <is>
          <t>Рядок відхилено; рішення зафіксовано в «Спірні». Редакційне (ТА): Примітка застаріла — додати посилання на рішення.</t>
        </is>
      </c>
      <c r="G32" s="22" t="n"/>
      <c r="H32" s="22" t="n"/>
    </row>
    <row r="33">
      <c r="A33" s="22" t="inlineStr">
        <is>
          <t>Реєстр №32 · BL-50 · Однозначність</t>
        </is>
      </c>
      <c r="B33" s="22" t="inlineStr">
        <is>
          <t>Тимчак А. (ТА)</t>
        </is>
      </c>
      <c r="C33" s="22" t="inlineStr">
        <is>
          <t>Горбонос О. (СМ)</t>
        </is>
      </c>
      <c r="D33" s="22" t="inlineStr">
        <is>
          <t>1✓ 2✓ 3✓ 4–6 н/з 7✓</t>
        </is>
      </c>
      <c r="E33" s="22" t="inlineStr">
        <is>
          <t>пройшло</t>
        </is>
      </c>
      <c r="F33" s="22" t="inlineStr">
        <is>
          <t>Рядок відхилено; рішення (US-06) зафіксовано в «Спірні». Редакційне (ТА): Примітка порожня — додати посилання на рішення.</t>
        </is>
      </c>
      <c r="G33" s="22" t="n"/>
      <c r="H33" s="22" t="n"/>
    </row>
    <row r="34">
      <c r="A34" s="22" t="inlineStr">
        <is>
          <t>Реєстр №33 · BL-60 · Однозначність</t>
        </is>
      </c>
      <c r="B34" s="22" t="inlineStr">
        <is>
          <t>Тимчак А. (ТА)</t>
        </is>
      </c>
      <c r="C34" s="22" t="inlineStr">
        <is>
          <t>Горбонос О. (СМ)</t>
        </is>
      </c>
      <c r="D34" s="22" t="inlineStr">
        <is>
          <t>1✓ 2✓ 3✓ 4✓ 5✓ 6✓ 7✓</t>
        </is>
      </c>
      <c r="E34" s="22" t="inlineStr">
        <is>
          <t>пройшло</t>
        </is>
      </c>
      <c r="F34" s="22" t="inlineStr">
        <is>
          <t>База порогу збігається з рішенням SCRUM-55 і виправленням №12 (PR #23): subtotal − знижка за обсяг − знижка за промокодом, межа «не менша за».</t>
        </is>
      </c>
      <c r="G34" s="22" t="n"/>
      <c r="H34" s="22" t="n"/>
    </row>
    <row r="35">
      <c r="A35" s="22" t="inlineStr">
        <is>
          <t>Реєстр №34 · BL-70 · Тестопридатність</t>
        </is>
      </c>
      <c r="B35" s="22" t="inlineStr">
        <is>
          <t>Тимчак А. (ТА)</t>
        </is>
      </c>
      <c r="C35" s="22" t="inlineStr">
        <is>
          <t>Горбонос О. (СМ)</t>
        </is>
      </c>
      <c r="D35" s="22" t="inlineStr">
        <is>
          <t>1✓ 2✓ 3✓ 4✓ 5✓ 6✗ 7✓</t>
        </is>
      </c>
      <c r="E35" s="22" t="inlineStr">
        <is>
          <t>не пройшло</t>
        </is>
      </c>
      <c r="F35" s="22" t="inlineStr">
        <is>
          <t>На main виправлення вводить NOT_FOUND (у SRS немає реєстру кодів) і INVALID_VALUE без позначки замовника — нова поведінка (рішення SCRUM-55). Переписано в PR #23. Зауваження СМ до PR: у INVALID_AMOUNT замінити «допустиму межу за BL-70» на «subtotal мінус знижка за обсяг (BL-50)».</t>
        </is>
      </c>
      <c r="G35" s="22" t="n"/>
      <c r="H35" s="22" t="n"/>
    </row>
    <row r="36">
      <c r="A36" s="22" t="inlineStr">
        <is>
          <t>Реєстр №35 · BL-80 · Здійсненність</t>
        </is>
      </c>
      <c r="B36" s="22" t="inlineStr">
        <is>
          <t>Дрєпіна А. (ІТ), Тимчак А. (ТА)</t>
        </is>
      </c>
      <c r="C36" s="22" t="inlineStr">
        <is>
          <t>Горбонос О. (СМ)</t>
        </is>
      </c>
      <c r="D36" s="22" t="inlineStr">
        <is>
          <t>1✓ 2✓ 3✓ 4✓ 5✓ 6✓ 7✓</t>
        </is>
      </c>
      <c r="E36" s="22" t="inlineStr">
        <is>
          <t>пройшло</t>
        </is>
      </c>
      <c r="F36" s="22" t="inlineStr">
        <is>
          <t>Редакційне: виправлення звужує правило замовника (перевірка лише в межах ШопЛайн) — додати «потребує підтвердження замовником».</t>
        </is>
      </c>
      <c r="G36" s="22" t="n"/>
      <c r="H36" s="22" t="n"/>
    </row>
    <row r="37">
      <c r="A37" s="22" t="inlineStr">
        <is>
          <t>Реєстр №36 · BL-70, BL-80 (немає вимоги) · Повнота</t>
        </is>
      </c>
      <c r="B37" s="22" t="inlineStr">
        <is>
          <t>Тимчак А. (ТА)</t>
        </is>
      </c>
      <c r="C37" s="22" t="inlineStr">
        <is>
          <t>Горбонос О. (СМ)</t>
        </is>
      </c>
      <c r="D37" s="22" t="inlineStr">
        <is>
          <t>1✓ 2✓ 3✓ 4✓ 5✓ 6✗ 7✓</t>
        </is>
      </c>
      <c r="E37" s="22" t="inlineStr">
        <is>
          <t>не пройшло</t>
        </is>
      </c>
      <c r="F37" s="22" t="inlineStr">
        <is>
          <t>На main BL-90 додає вартість доставки (поза BL-60) і бізнес-правило обрізання без позначки замовника (рішення SCRUM-55). Переписано в PR #23 (обмеження в BL-70). Зауваження СМ до PR: у Примітці вказати, що варіант обрала ТА з двох, дозволених рішенням команди.</t>
        </is>
      </c>
      <c r="G37" s="22" t="n"/>
      <c r="H37" s="22" t="n"/>
    </row>
    <row r="38">
      <c r="A38" s="22" t="inlineStr">
        <is>
          <t>План · рівень 1. Модульне (Unit)</t>
        </is>
      </c>
      <c r="B38" s="22" t="inlineStr">
        <is>
          <t>Дрєпіна А. (ІТ)</t>
        </is>
      </c>
      <c r="C38" s="22" t="inlineStr">
        <is>
          <t>Горбонос О. (СМ)</t>
        </is>
      </c>
      <c r="D38" s="22" t="inlineStr">
        <is>
          <t>1✓ 2✓ 3✓ 4✓ 5✓</t>
        </is>
      </c>
      <c r="E38" s="22" t="inlineStr">
        <is>
          <t>пройшло</t>
        </is>
      </c>
      <c r="F38" s="22" t="inlineStr">
        <is>
          <t>Межі qty 0/1/99/100 відповідають BL-10/BL-40; пороги BL-50 (1999.99 … 10000.00) — зі SRS.</t>
        </is>
      </c>
      <c r="G38" s="22" t="n"/>
      <c r="H38" s="22" t="n"/>
    </row>
    <row r="39">
      <c r="A39" s="22" t="inlineStr">
        <is>
          <t>План · рівень 2. Інтеграційне</t>
        </is>
      </c>
      <c r="B39" s="22" t="inlineStr">
        <is>
          <t>Дрєпіна А. (ІТ)</t>
        </is>
      </c>
      <c r="C39" s="22" t="inlineStr">
        <is>
          <t>Горбонос О. (СМ)</t>
        </is>
      </c>
      <c r="D39" s="22" t="inlineStr">
        <is>
          <t>1✓ 2✓ 3✓ 4✓ 5✓</t>
        </is>
      </c>
      <c r="E39" s="22" t="inlineStr">
        <is>
          <t>пройшло</t>
        </is>
      </c>
      <c r="F39" s="22" t="inlineStr">
        <is>
          <t>Редакційне: джерело кодів 200/422 не випливає зі SRS — вказати (валідація Laravel на demo) або прибрати.</t>
        </is>
      </c>
      <c r="G39" s="22" t="n"/>
      <c r="H39" s="22" t="n"/>
    </row>
    <row r="40">
      <c r="A40" s="22" t="inlineStr">
        <is>
          <t>План · рівень 3. Димове (Smoke)</t>
        </is>
      </c>
      <c r="B40" s="22" t="inlineStr">
        <is>
          <t>Дрєпіна А. (ІТ)</t>
        </is>
      </c>
      <c r="C40" s="22" t="inlineStr">
        <is>
          <t>Горбонос О. (СМ)</t>
        </is>
      </c>
      <c r="D40" s="22" t="inlineStr">
        <is>
          <t>1✗ 2✓ 3✓ 4✓ 5✓</t>
        </is>
      </c>
      <c r="E40" s="22" t="inlineStr">
        <is>
          <t>не пройшло</t>
        </is>
      </c>
      <c r="F40" s="22" t="inlineStr">
        <is>
          <t>Ціль загальна («основні критичні функції») — не називає об'єкт і ризик ШопЛайн (напр., недоступний чекаут блокує всі подальші перевірки). Опис і дані конкретні. У v5 (SCRUM-71) виправлено; повторне підтвердження — після коміту ІТ і порівняння з main.</t>
        </is>
      </c>
      <c r="G40" s="22" t="n"/>
      <c r="H40" s="22" t="n"/>
    </row>
    <row r="41">
      <c r="A41" s="22" t="inlineStr">
        <is>
          <t>План · рівень 4. Системне</t>
        </is>
      </c>
      <c r="B41" s="22" t="inlineStr">
        <is>
          <t>Дрєпіна А. (ІТ)</t>
        </is>
      </c>
      <c r="C41" s="22" t="inlineStr">
        <is>
          <t>Горбонос О. (СМ)</t>
        </is>
      </c>
      <c r="D41" s="22" t="inlineStr">
        <is>
          <t>1✗ 2✓ 3✗ 4✓ 5✓</t>
        </is>
      </c>
      <c r="E41" s="22" t="inlineStr">
        <is>
          <t>не пройшло</t>
        </is>
      </c>
      <c r="F41" s="22" t="inlineStr">
        <is>
          <t>Ціль загальна; у «Інструменти / Дані» немає даних (обліковий запис, товари, промокод) — додати. У v5 (SCRUM-71) виправлено; повторне підтвердження — після коміту ІТ і порівняння з main.</t>
        </is>
      </c>
      <c r="G41" s="22" t="n"/>
      <c r="H41" s="22" t="n"/>
    </row>
    <row r="42">
      <c r="A42" s="22" t="inlineStr">
        <is>
          <t>План · рівень 5. Альфа-тестування</t>
        </is>
      </c>
      <c r="B42" s="22" t="inlineStr">
        <is>
          <t>Дрєпіна А. (ІТ)</t>
        </is>
      </c>
      <c r="C42" s="22" t="inlineStr">
        <is>
          <t>Горбонос О. (СМ)</t>
        </is>
      </c>
      <c r="D42" s="22" t="inlineStr">
        <is>
          <t>1✓ 2✓ 3✓ 4✓ 5✓</t>
        </is>
      </c>
      <c r="E42" s="22" t="inlineStr">
        <is>
          <t>пройшло</t>
        </is>
      </c>
      <c r="F42" s="22" t="inlineStr">
        <is>
          <t>На demo не виконується — позначено. Редакційне: пріоритет Medium не названо в 2.1 — додати.</t>
        </is>
      </c>
      <c r="G42" s="22" t="n"/>
      <c r="H42" s="22" t="n"/>
    </row>
    <row r="43">
      <c r="A43" s="22" t="inlineStr">
        <is>
          <t>План · рівень 6. Бета-тестування</t>
        </is>
      </c>
      <c r="B43" s="22" t="inlineStr">
        <is>
          <t>Дрєпіна А. (ІТ)</t>
        </is>
      </c>
      <c r="C43" s="22" t="inlineStr">
        <is>
          <t>Горбонос О. (СМ)</t>
        </is>
      </c>
      <c r="D43" s="22" t="inlineStr">
        <is>
          <t>1✗ 2✓ 3✓ 4✓ 5✓</t>
        </is>
      </c>
      <c r="E43" s="22" t="inlineStr">
        <is>
          <t>не пройшло</t>
        </is>
      </c>
      <c r="F43" s="22" t="inlineStr">
        <is>
          <t>Ціль загальна (годиться для будь-якого продукту) — назвати об'єкт і ризик ШопЛайн. Опис конкретний, обмеження demo позначено. У v5 (SCRUM-71) виправлено; повторне підтвердження — після коміту ІТ і порівняння з main.</t>
        </is>
      </c>
      <c r="G43" s="22" t="n"/>
      <c r="H43" s="22" t="n"/>
    </row>
    <row r="44">
      <c r="A44" s="22" t="inlineStr">
        <is>
          <t>План · рівень 7. Приймальне замовником (UAT)</t>
        </is>
      </c>
      <c r="B44" s="22" t="inlineStr">
        <is>
          <t>Дрєпіна А. (ІТ)</t>
        </is>
      </c>
      <c r="C44" s="22" t="inlineStr">
        <is>
          <t>Горбонос О. (СМ)</t>
        </is>
      </c>
      <c r="D44" s="22" t="inlineStr">
        <is>
          <t>1✓ 2✓ 3✓ 4✓ 5✓</t>
        </is>
      </c>
      <c r="E44" s="22" t="inlineStr">
        <is>
          <t>пройшло</t>
        </is>
      </c>
      <c r="F44" s="22" t="inlineStr">
        <is>
          <t>Ціль називає замовника; на demo не виконується — позначено.</t>
        </is>
      </c>
      <c r="G44" s="22" t="n"/>
      <c r="H44" s="22" t="n"/>
    </row>
    <row r="45">
      <c r="A45" s="22" t="inlineStr">
        <is>
          <t>План · тип 1 · Функціональне</t>
        </is>
      </c>
      <c r="B45" s="22" t="inlineStr">
        <is>
          <t>Дрєпіна А. (ІТ)</t>
        </is>
      </c>
      <c r="C45" s="22" t="inlineStr">
        <is>
          <t>Горбонос О. (СМ)</t>
        </is>
      </c>
      <c r="D45" s="22" t="inlineStr">
        <is>
          <t>1✓ 2✓ 3✓ 4✓ 5✓</t>
        </is>
      </c>
      <c r="E45" s="22" t="inlineStr">
        <is>
          <t>пройшло</t>
        </is>
      </c>
      <c r="F45" s="22" t="inlineStr">
        <is>
          <t>Combination Pliers є на demo (перевірено через API 12.10.2026); критерій успіху названо.</t>
        </is>
      </c>
      <c r="G45" s="22" t="n"/>
      <c r="H45" s="22" t="n"/>
    </row>
    <row r="46">
      <c r="A46" s="22" t="inlineStr">
        <is>
          <t>План · тип 2 · Графічного інтерфейсу (GUI)</t>
        </is>
      </c>
      <c r="B46" s="22" t="inlineStr">
        <is>
          <t>Дрєпіна А. (ІТ)</t>
        </is>
      </c>
      <c r="C46" s="22" t="inlineStr">
        <is>
          <t>Горбонос О. (СМ)</t>
        </is>
      </c>
      <c r="D46" s="22" t="inlineStr">
        <is>
          <t>1✓ 2✓ 3✓ 4✓ 5✓</t>
        </is>
      </c>
      <c r="E46" s="22" t="inlineStr">
        <is>
          <t>пройшло</t>
        </is>
      </c>
      <c r="F46" s="22" t="inlineStr">
        <is>
          <t>Значення «9 карток» і «1–99» узято з виправлень №6 і №17 (у SRS 1.0: 12 карток, 0–100); SRS 1.1 ще немає — перевірити після випуску.</t>
        </is>
      </c>
      <c r="G46" s="22" t="n"/>
      <c r="H46" s="22" t="n"/>
    </row>
    <row r="47">
      <c r="A47" s="22" t="inlineStr">
        <is>
          <t>План · тип 3 · Юзабіліті</t>
        </is>
      </c>
      <c r="B47" s="22" t="inlineStr">
        <is>
          <t>Дрєпіна А. (ІТ)</t>
        </is>
      </c>
      <c r="C47" s="22" t="inlineStr">
        <is>
          <t>Горбонос О. (СМ)</t>
        </is>
      </c>
      <c r="D47" s="22" t="inlineStr">
        <is>
          <t>1✓ 2✗ 3✓ 4✓ 5✓</t>
        </is>
      </c>
      <c r="E47" s="22" t="inlineStr">
        <is>
          <t>не пройшло</t>
        </is>
      </c>
      <c r="F47" s="22" t="inlineStr">
        <is>
          <t>Невиконуваний/суперечливий опис: пошук «Hammer» «через фільтр брендів» (Hammer — товар, не бренд); вибірка 10 учасників «на етапі UAT/альфа», а в Інструментах — «на Toolshop»; не вказано, де виконується. Вибірка 10 залежить від вибору варіанта U-10 у №25 (КТ: 5 учасників). У v5 (SCRUM-71) виправлено; повторне підтвердження — після коміту ІТ і порівняння з main.</t>
        </is>
      </c>
      <c r="G47" s="22" t="n"/>
      <c r="H47" s="22" t="n"/>
    </row>
    <row r="48">
      <c r="A48" s="22" t="inlineStr">
        <is>
          <t>План · тип 4 · Захищеності</t>
        </is>
      </c>
      <c r="B48" s="22" t="inlineStr">
        <is>
          <t>Дрєпіна А. (ІТ)</t>
        </is>
      </c>
      <c r="C48" s="22" t="inlineStr">
        <is>
          <t>Горбонос О. (СМ)</t>
        </is>
      </c>
      <c r="D48" s="22" t="inlineStr">
        <is>
          <t>1✓ 2✓ 3✓ 4✓ 5✓</t>
        </is>
      </c>
      <c r="E48" s="22" t="inlineStr">
        <is>
          <t>пройшло</t>
        </is>
      </c>
      <c r="F48" s="22" t="inlineStr">
        <is>
          <t>Редирект /account → /auth/login для гостя підтверджено на demo (12.10.2026); обмеження demo і позначки замовника є. Редакційне: S-20 вимагає також недоступності кроків 3–4 для гостя — додати крок.</t>
        </is>
      </c>
      <c r="G48" s="22" t="n"/>
      <c r="H48" s="22" t="n"/>
    </row>
    <row r="49">
      <c r="A49" s="22" t="inlineStr">
        <is>
          <t>План · тип 5 · Потоків даних</t>
        </is>
      </c>
      <c r="B49" s="22" t="inlineStr">
        <is>
          <t>Дрєпіна А. (ІТ)</t>
        </is>
      </c>
      <c r="C49" s="22" t="inlineStr">
        <is>
          <t>Горбонос О. (СМ)</t>
        </is>
      </c>
      <c r="D49" s="22" t="inlineStr">
        <is>
          <t>1✓ 2✓ 3✓ 4✓ 5✓</t>
        </is>
      </c>
      <c r="E49" s="22" t="inlineStr">
        <is>
          <t>пройшло</t>
        </is>
      </c>
      <c r="F49" s="22" t="inlineStr">
        <is>
          <t>Редакційне: у критерії «≥ 1500 грн» немає позначки — рішення SCRUM-55 вимагає її для бази, порогу й межі.</t>
        </is>
      </c>
      <c r="G49" s="22" t="n"/>
      <c r="H49" s="22" t="n"/>
    </row>
    <row r="50">
      <c r="A50" s="22" t="inlineStr">
        <is>
          <t>План · тип 6 · Інтерфейсів (програмних)</t>
        </is>
      </c>
      <c r="B50" s="22" t="inlineStr">
        <is>
          <t>Дрєпіна А. (ІТ)</t>
        </is>
      </c>
      <c r="C50" s="22" t="inlineStr">
        <is>
          <t>Горбонос О. (СМ)</t>
        </is>
      </c>
      <c r="D50" s="22" t="inlineStr">
        <is>
          <t>1✓ 2✓ 3✓ 4✓ 5✓</t>
        </is>
      </c>
      <c r="E50" s="22" t="inlineStr">
        <is>
          <t>пройшло</t>
        </is>
      </c>
      <c r="F50" s="22" t="inlineStr">
        <is>
          <t>Перевірено на API demo: GET /products (поля id, name, price, in_stock), GET /categories — відповідають опису; POST /users/login не надсилала (потрібні облікові дані). Обмеження щодо HTTP 500 позначено.</t>
        </is>
      </c>
      <c r="G50" s="22" t="n"/>
      <c r="H50" s="22" t="n"/>
    </row>
    <row r="51">
      <c r="A51" s="22" t="inlineStr">
        <is>
          <t>План · тип 7 · Інсталяційне</t>
        </is>
      </c>
      <c r="B51" s="22" t="inlineStr">
        <is>
          <t>Дрєпіна А. (ІТ)</t>
        </is>
      </c>
      <c r="C51" s="22" t="inlineStr">
        <is>
          <t>Горбонос О. (СМ)</t>
        </is>
      </c>
      <c r="D51" s="22" t="inlineStr">
        <is>
          <t>1✓ 2✓ 3✓ 4✓ 5✓</t>
        </is>
      </c>
      <c r="E51" s="22" t="inlineStr">
        <is>
          <t>пройшло</t>
        </is>
      </c>
      <c r="F51" s="22" t="inlineStr">
        <is>
          <t>Незастосовність пояснено природою продукту (вебзастосунок, дистрибутива немає).</t>
        </is>
      </c>
      <c r="G51" s="22" t="n"/>
      <c r="H51" s="22" t="n"/>
    </row>
    <row r="52">
      <c r="A52" s="22" t="inlineStr">
        <is>
          <t>План · тип 8 · Конфігураційне</t>
        </is>
      </c>
      <c r="B52" s="22" t="inlineStr">
        <is>
          <t>Дрєпіна А. (ІТ)</t>
        </is>
      </c>
      <c r="C52" s="22" t="inlineStr">
        <is>
          <t>Горбонос О. (СМ)</t>
        </is>
      </c>
      <c r="D52" s="22" t="inlineStr">
        <is>
          <t>1✓ 2✓ 3✓ 4✓ 5✓</t>
        </is>
      </c>
      <c r="E52" s="22" t="inlineStr">
        <is>
          <t>пройшло</t>
        </is>
      </c>
      <c r="F52" s="22" t="inlineStr">
        <is>
          <t>Редакційне: «U-30» — запропонований ID (реєстр №26), у SRS 1.0 його немає; залежить від рішення №1 (2.2 ↔ розд. 6) — позначити.</t>
        </is>
      </c>
      <c r="G52" s="22" t="n"/>
      <c r="H52" s="22" t="n"/>
    </row>
    <row r="53">
      <c r="A53" s="22" t="inlineStr">
        <is>
          <t>План · тип 9 · Об'ємне</t>
        </is>
      </c>
      <c r="B53" s="22" t="inlineStr">
        <is>
          <t>Дрєпіна А. (ІТ)</t>
        </is>
      </c>
      <c r="C53" s="22" t="inlineStr">
        <is>
          <t>Горбонос О. (СМ)</t>
        </is>
      </c>
      <c r="D53" s="22" t="inlineStr">
        <is>
          <t>1✓ 2✓ 3✓ 4✓ 5✓</t>
        </is>
      </c>
      <c r="E53" s="22" t="inlineStr">
        <is>
          <t>пройшло</t>
        </is>
      </c>
      <c r="F53" s="22" t="inlineStr">
        <is>
          <t>Обмеження demo (52 товари, 6 сторінок, по 9) позначено й відповідає перевірці на demo.</t>
        </is>
      </c>
      <c r="G53" s="22" t="n"/>
      <c r="H53" s="22" t="n"/>
    </row>
    <row r="54">
      <c r="A54" s="22" t="inlineStr">
        <is>
          <t>План · тип 10 · Надійності</t>
        </is>
      </c>
      <c r="B54" s="22" t="inlineStr">
        <is>
          <t>Дрєпіна А. (ІТ)</t>
        </is>
      </c>
      <c r="C54" s="22" t="inlineStr">
        <is>
          <t>Горбонос О. (СМ)</t>
        </is>
      </c>
      <c r="D54" s="22" t="inlineStr">
        <is>
          <t>1✓ 2✓ 3✓ 4✓ 5✓</t>
        </is>
      </c>
      <c r="E54" s="22" t="inlineStr">
        <is>
          <t>пройшло</t>
        </is>
      </c>
      <c r="F54" s="22" t="inlineStr">
        <is>
          <t>Сценарій 30 хв, 6 сторінок, ≥ 5 операцій, критерій успіху названо.</t>
        </is>
      </c>
      <c r="G54" s="22" t="n"/>
      <c r="H54" s="22" t="n"/>
    </row>
    <row r="55">
      <c r="A55" s="22" t="inlineStr">
        <is>
          <t>План · тип 11 · Доступності (Availability)</t>
        </is>
      </c>
      <c r="B55" s="22" t="inlineStr">
        <is>
          <t>Дрєпіна А. (ІТ)</t>
        </is>
      </c>
      <c r="C55" s="22" t="inlineStr">
        <is>
          <t>Горбонос О. (СМ)</t>
        </is>
      </c>
      <c r="D55" s="22" t="inlineStr">
        <is>
          <t>1✓ 2✓ 3✓ 4✓ 5✓</t>
        </is>
      </c>
      <c r="E55" s="22" t="inlineStr">
        <is>
          <t>пройшло</t>
        </is>
      </c>
      <c r="F55" s="22" t="inlineStr">
        <is>
          <t>Незастосовність пояснено (один склад у Житомирі, вимог 99.99 % немає).</t>
        </is>
      </c>
      <c r="G55" s="22" t="n"/>
      <c r="H55" s="22" t="n"/>
    </row>
    <row r="56">
      <c r="A56" s="22" t="inlineStr">
        <is>
          <t>План · тип 12 · Відновлення (Recovery)</t>
        </is>
      </c>
      <c r="B56" s="22" t="inlineStr">
        <is>
          <t>Дрєпіна А. (ІТ)</t>
        </is>
      </c>
      <c r="C56" s="22" t="inlineStr">
        <is>
          <t>Горбонос О. (СМ)</t>
        </is>
      </c>
      <c r="D56" s="22" t="inlineStr">
        <is>
          <t>1✗ 2✓ 3✓ 4✓ 5✓</t>
        </is>
      </c>
      <c r="E56" s="22" t="inlineStr">
        <is>
          <t>не пройшло</t>
        </is>
      </c>
      <c r="F56" s="22" t="inlineStr">
        <is>
          <t>Ціль обіцяє збереження «введених даних чекауту», а Опис і критерій перевіряють лише кошик — або додати перевірку чекауту, або прибрати з Цілі. У v5 (SCRUM-71) виправлено; повторне підтвердження — після коміту ІТ і порівняння з main.</t>
        </is>
      </c>
      <c r="G56" s="22" t="n"/>
      <c r="H56" s="22" t="n"/>
    </row>
    <row r="57">
      <c r="A57" s="22" t="inlineStr">
        <is>
          <t>План · тип 13 · Інтернаціоналізації (i18n)</t>
        </is>
      </c>
      <c r="B57" s="22" t="inlineStr">
        <is>
          <t>Дрєпіна А. (ІТ)</t>
        </is>
      </c>
      <c r="C57" s="22" t="inlineStr">
        <is>
          <t>Горбонос О. (СМ)</t>
        </is>
      </c>
      <c r="D57" s="22" t="inlineStr">
        <is>
          <t>1✗ 2✗ 3✓ 4✓ 5✓</t>
        </is>
      </c>
      <c r="E57" s="22" t="inlineStr">
        <is>
          <t>не пройшло</t>
        </is>
      </c>
      <c r="F57" s="22" t="inlineStr">
        <is>
          <t>«Суми з комами та крапками» — на demo немає поля введення сум (неможливо виконати); «відсутність жорстко закодованого тексту» в Описі не перевіряється. Твердження «demo лише англійською» неточне: на demo є перемикач мов (EN, DE, EL, ES, FR, NL, TR) — його можна використати для перевірки. У v5 (SCRUM-71) виправлено; повторне підтвердження — після коміту ІТ і порівняння з main.</t>
        </is>
      </c>
      <c r="G57" s="22" t="n"/>
      <c r="H57" s="22" t="n"/>
    </row>
    <row r="58">
      <c r="A58" s="22" t="inlineStr">
        <is>
          <t>План · тип 14 · Локалізації (l10n)</t>
        </is>
      </c>
      <c r="B58" s="22" t="inlineStr">
        <is>
          <t>Дрєпіна А. (ІТ)</t>
        </is>
      </c>
      <c r="C58" s="22" t="inlineStr">
        <is>
          <t>Горбонос О. (СМ)</t>
        </is>
      </c>
      <c r="D58" s="22" t="inlineStr">
        <is>
          <t>1✗ 2✓ 3✓ 4✓ 5✓</t>
        </is>
      </c>
      <c r="E58" s="22" t="inlineStr">
        <is>
          <t>не пройшло</t>
        </is>
      </c>
      <c r="F58" s="22" t="inlineStr">
        <is>
          <t>Критерій «математика цін відповідає українським стандартам» неперевірюваний (як і слова-маркери в аудиті); формат індексу «5 цифр» не заданий у SRS — позначити як припущення; HALF_UP належить типу 5, не l10n. У v5 (SCRUM-71) виправлено; повторне підтвердження — після коміту ІТ і порівняння з main. Тип стає «Ні» (15 застосовних / 9 незастосовних) — потрібне підтвердження КТ.</t>
        </is>
      </c>
      <c r="G58" s="22" t="n"/>
      <c r="H58" s="22" t="n"/>
    </row>
    <row r="59">
      <c r="A59" s="22" t="inlineStr">
        <is>
          <t>План · тип 15 · Документації</t>
        </is>
      </c>
      <c r="B59" s="22" t="inlineStr">
        <is>
          <t>Дрєпіна А. (ІТ)</t>
        </is>
      </c>
      <c r="C59" s="22" t="inlineStr">
        <is>
          <t>Горбонос О. (СМ)</t>
        </is>
      </c>
      <c r="D59" s="22" t="inlineStr">
        <is>
          <t>1✓ 2✓ 3✓ 4✓ 5✓</t>
        </is>
      </c>
      <c r="E59" s="22" t="inlineStr">
        <is>
          <t>пройшло</t>
        </is>
      </c>
      <c r="F59" s="22" t="inlineStr">
        <is>
          <t>Редакційне: у SRS D-10 — посібник користувача (Low), D-20 — README модуля з `mvn test` (Medium); у даних «розділ 5, D-10» плутає ID — виправити відповідність.</t>
        </is>
      </c>
      <c r="G59" s="22" t="n"/>
      <c r="H59" s="22" t="n"/>
    </row>
    <row r="60">
      <c r="A60" s="22" t="inlineStr">
        <is>
          <t>План · тип 16 · Навантажувальне (Load)</t>
        </is>
      </c>
      <c r="B60" s="22" t="inlineStr">
        <is>
          <t>Дрєпіна А. (ІТ)</t>
        </is>
      </c>
      <c r="C60" s="22" t="inlineStr">
        <is>
          <t>Горбонос О. (СМ)</t>
        </is>
      </c>
      <c r="D60" s="22" t="inlineStr">
        <is>
          <t>1✓ 2✓ 3✓ 4✓ 5✓</t>
        </is>
      </c>
      <c r="E60" s="22" t="inlineStr">
        <is>
          <t>пройшло</t>
        </is>
      </c>
      <c r="F60" s="22" t="inlineStr">
        <is>
          <t>Параметри відповідають P-20 (100 покупців, p95 ≤ 1 с, 10 хв); заборону на demo позначено, авторські значення позначено «потребує підтвердження замовником».</t>
        </is>
      </c>
      <c r="G60" s="22" t="n"/>
      <c r="H60" s="22" t="n"/>
    </row>
    <row r="61">
      <c r="A61" s="22" t="inlineStr">
        <is>
          <t>План · тип 17 · Стресове (Stress)</t>
        </is>
      </c>
      <c r="B61" s="22" t="inlineStr">
        <is>
          <t>Дрєпіна А. (ІТ)</t>
        </is>
      </c>
      <c r="C61" s="22" t="inlineStr">
        <is>
          <t>Горбонос О. (СМ)</t>
        </is>
      </c>
      <c r="D61" s="22" t="inlineStr">
        <is>
          <t>1✓ 2✓ 3✓ 4✓ 5✓</t>
        </is>
      </c>
      <c r="E61" s="22" t="inlineStr">
        <is>
          <t>пройшло</t>
        </is>
      </c>
      <c r="F61" s="22" t="inlineStr">
        <is>
          <t>Причину незастосовності названо (вимог до дефіциту ресурсів у SRS немає).</t>
        </is>
      </c>
      <c r="G61" s="22" t="n"/>
      <c r="H61" s="22" t="n"/>
    </row>
    <row r="62">
      <c r="A62" s="22" t="inlineStr">
        <is>
          <t>План · тип 18 · Стрибкове (Spike)</t>
        </is>
      </c>
      <c r="B62" s="22" t="inlineStr">
        <is>
          <t>Дрєпіна А. (ІТ)</t>
        </is>
      </c>
      <c r="C62" s="22" t="inlineStr">
        <is>
          <t>Горбонос О. (СМ)</t>
        </is>
      </c>
      <c r="D62" s="22" t="inlineStr">
        <is>
          <t>1✓ 2✓ 3✓ 4✓ 5✓</t>
        </is>
      </c>
      <c r="E62" s="22" t="inlineStr">
        <is>
          <t>пройшло</t>
        </is>
      </c>
      <c r="F62" s="22" t="inlineStr">
        <is>
          <t>Причина посилається на P-20 (рівномірне навантаження) — відповідає SRS.</t>
        </is>
      </c>
      <c r="G62" s="22" t="n"/>
      <c r="H62" s="22" t="n"/>
    </row>
    <row r="63">
      <c r="A63" s="22" t="inlineStr">
        <is>
          <t>План · тип 19 · Порівняльне (Benchmarking)</t>
        </is>
      </c>
      <c r="B63" s="22" t="inlineStr">
        <is>
          <t>Дрєпіна А. (ІТ)</t>
        </is>
      </c>
      <c r="C63" s="22" t="inlineStr">
        <is>
          <t>Горбонос О. (СМ)</t>
        </is>
      </c>
      <c r="D63" s="22" t="inlineStr">
        <is>
          <t>1✓ 2✓ 3✓ 4✓ 5✓</t>
        </is>
      </c>
      <c r="E63" s="22" t="inlineStr">
        <is>
          <t>пройшло</t>
        </is>
      </c>
      <c r="F63" s="22" t="inlineStr">
        <is>
          <t>Причину названо (немає попередньої версії й еталонів).</t>
        </is>
      </c>
      <c r="G63" s="22" t="n"/>
      <c r="H63" s="22" t="n"/>
    </row>
    <row r="64">
      <c r="A64" s="22" t="inlineStr">
        <is>
          <t>План · тип 20 · Профілювання (Profiling)</t>
        </is>
      </c>
      <c r="B64" s="22" t="inlineStr">
        <is>
          <t>Дрєпіна А. (ІТ)</t>
        </is>
      </c>
      <c r="C64" s="22" t="inlineStr">
        <is>
          <t>Горбонос О. (СМ)</t>
        </is>
      </c>
      <c r="D64" s="22" t="inlineStr">
        <is>
          <t>1✓ 2✓ 3✓ 4✗ 5✓</t>
        </is>
      </c>
      <c r="E64" s="22" t="inlineStr">
        <is>
          <t>не пройшло</t>
        </is>
      </c>
      <c r="F64" s="22" t="inlineStr">
        <is>
          <t>Причина спирається на «типовий монолітний вебзастосунок» — у SRS 1.0 архітектура інша (SPA + REST API + БД), твердження не підтверджено. Обґрунтувати природою продукту (напр., пороги вже в P-20, еталонів немає). У v5 (SCRUM-71) виправлено; повторне підтвердження — після коміту ІТ і порівняння з main.</t>
        </is>
      </c>
      <c r="G64" s="22" t="n"/>
      <c r="H64" s="22" t="n"/>
    </row>
    <row r="65">
      <c r="A65" s="22" t="inlineStr">
        <is>
          <t>План · тип 21 · Стабільності (Soak / Endurance)</t>
        </is>
      </c>
      <c r="B65" s="22" t="inlineStr">
        <is>
          <t>Дрєпіна А. (ІТ)</t>
        </is>
      </c>
      <c r="C65" s="22" t="inlineStr">
        <is>
          <t>Горбонос О. (СМ)</t>
        </is>
      </c>
      <c r="D65" s="22" t="inlineStr">
        <is>
          <t>1✓ 2✓ 3✓ 4✓ 5✓</t>
        </is>
      </c>
      <c r="E65" s="22" t="inlineStr">
        <is>
          <t>пройшло</t>
        </is>
      </c>
      <c r="F65" s="22" t="inlineStr">
        <is>
          <t>Формулювання за рішенням КТ (SCRUM-58); покриття 30-хвилинним сценарієм типу 10 вказано.</t>
        </is>
      </c>
      <c r="G65" s="22" t="n"/>
      <c r="H65" s="22" t="n"/>
    </row>
    <row r="66">
      <c r="A66" s="22" t="inlineStr">
        <is>
          <t>План · тип 22 · Витоків пам'яті (Memory Leaks)</t>
        </is>
      </c>
      <c r="B66" s="22" t="inlineStr">
        <is>
          <t>Дрєпіна А. (ІТ)</t>
        </is>
      </c>
      <c r="C66" s="22" t="inlineStr">
        <is>
          <t>Горбонос О. (СМ)</t>
        </is>
      </c>
      <c r="D66" s="22" t="inlineStr">
        <is>
          <t>1✓ 2✓ 3✓ 4✓ 5✓</t>
        </is>
      </c>
      <c r="E66" s="22" t="inlineStr">
        <is>
          <t>пройшло</t>
        </is>
      </c>
      <c r="F66" s="22" t="inlineStr">
        <is>
          <t>За рішенням КТ (SCRUM-58): критерій 20 % позначено «потребує підтвердження замовником», пріоритет Low пояснено, межу (лише клієнтська частина) вказано.</t>
        </is>
      </c>
      <c r="G66" s="22" t="n"/>
      <c r="H66" s="22" t="n"/>
    </row>
    <row r="67">
      <c r="A67" s="22" t="inlineStr">
        <is>
          <t>План · тип 23 · Вузьких місць (Bottleneck)</t>
        </is>
      </c>
      <c r="B67" s="22" t="inlineStr">
        <is>
          <t>Дрєпіна А. (ІТ)</t>
        </is>
      </c>
      <c r="C67" s="22" t="inlineStr">
        <is>
          <t>Горбонос О. (СМ)</t>
        </is>
      </c>
      <c r="D67" s="22" t="inlineStr">
        <is>
          <t>1✓ 2✓ 3✓ 4✓ 5✓</t>
        </is>
      </c>
      <c r="E67" s="22" t="inlineStr">
        <is>
          <t>пройшло</t>
        </is>
      </c>
      <c r="F67" s="22" t="inlineStr">
        <is>
          <t>Редакційне: покриття типом 16, який на demo не запускається (ризик 1) — діє лише з локальним стендом.</t>
        </is>
      </c>
      <c r="G67" s="22" t="n"/>
      <c r="H67" s="22" t="n"/>
    </row>
    <row r="68">
      <c r="A68" s="22" t="inlineStr">
        <is>
          <t>План · тип 24 · Умов гонок (Race Conditions)</t>
        </is>
      </c>
      <c r="B68" s="22" t="inlineStr">
        <is>
          <t>Дрєпіна А. (ІТ)</t>
        </is>
      </c>
      <c r="C68" s="22" t="inlineStr">
        <is>
          <t>Горбонос О. (СМ)</t>
        </is>
      </c>
      <c r="D68" s="22" t="inlineStr">
        <is>
          <t>1✓ 2✓ 3✓ 4✓ 5✓</t>
        </is>
      </c>
      <c r="E68" s="22" t="inlineStr">
        <is>
          <t>пройшло</t>
        </is>
      </c>
      <c r="F68" s="22" t="inlineStr">
        <is>
          <t>Конкретний тест JUnit 5 (10 конкурентних викликів), пріоритет Medium пояснено, на demo не потрібен.</t>
        </is>
      </c>
      <c r="G68" s="22" t="n"/>
      <c r="H68" s="22" t="n"/>
    </row>
    <row r="69">
      <c r="A69" s="22" t="inlineStr">
        <is>
          <t>План · SCRUM-71 (розд. 5–6, прив'язка до ID SRS 1.1): перевірено версії v1–v4, передано v5</t>
        </is>
      </c>
      <c r="B69" s="22" t="inlineStr">
        <is>
          <t>Дрєпіна А. (ІТ)</t>
        </is>
      </c>
      <c r="C69" s="22" t="inlineStr">
        <is>
          <t>Горбонос О. (СМ)</t>
        </is>
      </c>
      <c r="D69" s="22" t="inlineStr">
        <is>
          <t>розд. 5–6; різниця з main; пп. 1–5 плану</t>
        </is>
      </c>
      <c r="E69" s="22" t="inlineStr">
        <is>
          <t>очікує коміт ІТ</t>
        </is>
      </c>
      <c r="F69" s="22" t="inlineStr">
        <is>
          <t>v1 (11.10): не пройшло — основа старіша за main (зникли ризики в Цілях і правки SCRUM-68–70), D-10/D-20 переплутані, у розд. 5–6 бракувало інструментів, припущень, наслідку/пом'якшення/власника.
v2: розд. 5–6 виправлено; типи 2, 3, 6, 14 з Описами слабшими за main.
v3: виправлено типи 2, 3, 4, 6, 15, 16, 22; тип 14 посилався на валідацію індексу, якої немає в модулі.
v4: пройшло з трьома правками (шкала 2.1 — прибрати l10n; причина «Ні» типу 14 — від продукту, не від demo; тип 13 — прибрати GUI-10). Тип 14 → «Ні» потребує підтвердження КТ (SCRUM-58). Власник ризику 4 — СМ (рішення СМ, 12.10.2026); запис «СМ / ІТ» у плані лишається без змін.
v5 (12.10.2026): правки внесено в файл за дорученням СМ (шкала 2.1, причина «Ні» типу 14, тип 13, заголовок типів), файл передано ІТ для коміту. Повторне підтвердження — після коміту й порівняння з main; станом на 12.10.2026 SCRUM-71 у репозиторії немає.</t>
        </is>
      </c>
      <c r="G69" s="22" t="n"/>
      <c r="H69" s="22" t="n"/>
    </row>
    <row r="70">
      <c r="A70" s="22" t="inlineStr">
        <is>
          <t>SRS 1.1 · кожна правка має запис у журналі змін із № дефекту</t>
        </is>
      </c>
      <c r="B70" s="22" t="inlineStr">
        <is>
          <t>Тимчак А. (ТА)</t>
        </is>
      </c>
      <c r="C70" s="22" t="inlineStr">
        <is>
          <t>Горбонос О. (СМ)</t>
        </is>
      </c>
      <c r="D70" s="22" t="inlineStr">
        <is>
          <t>—</t>
        </is>
      </c>
      <c r="E70" s="22" t="inlineStr">
        <is>
          <t>очікує SRS 1.1</t>
        </is>
      </c>
      <c r="F70" s="22" t="inlineStr">
        <is>
          <t>SRS 1.1 ще не створено (у docs/sprint2 її немає станом на 12.10.2026). Рядок заповнюю після появи файла; без файла «пройшло» не ставлю.</t>
        </is>
      </c>
      <c r="G70" s="22" t="n"/>
      <c r="H70" s="22" t="n"/>
    </row>
    <row r="71">
      <c r="A71" s="22" t="inlineStr">
        <is>
          <t>SRS 1.1 · ID не перенумеровані</t>
        </is>
      </c>
      <c r="B71" s="22" t="inlineStr">
        <is>
          <t>Тимчак А. (ТА)</t>
        </is>
      </c>
      <c r="C71" s="22" t="inlineStr">
        <is>
          <t>Горбонос О. (СМ)</t>
        </is>
      </c>
      <c r="D71" s="22" t="inlineStr">
        <is>
          <t>—</t>
        </is>
      </c>
      <c r="E71" s="22" t="inlineStr">
        <is>
          <t>очікує SRS 1.1</t>
        </is>
      </c>
      <c r="F71" s="22" t="inlineStr">
        <is>
          <t>SRS 1.1 ще не створено (у docs/sprint2 її немає станом на 12.10.2026). Рядок заповнюю після появи файла; без файла «пройшло» не ставлю.</t>
        </is>
      </c>
      <c r="G71" s="22" t="n"/>
      <c r="H71" s="22" t="n"/>
    </row>
    <row r="72">
      <c r="A72" s="22" t="inlineStr">
        <is>
          <t>SRS 1.1 · незмінені вимоги дослівні</t>
        </is>
      </c>
      <c r="B72" s="22" t="inlineStr">
        <is>
          <t>Тимчак А. (ТА)</t>
        </is>
      </c>
      <c r="C72" s="22" t="inlineStr">
        <is>
          <t>Горбонос О. (СМ)</t>
        </is>
      </c>
      <c r="D72" s="22" t="inlineStr">
        <is>
          <t>—</t>
        </is>
      </c>
      <c r="E72" s="22" t="inlineStr">
        <is>
          <t>очікує SRS 1.1</t>
        </is>
      </c>
      <c r="F72" s="22" t="inlineStr">
        <is>
          <t>SRS 1.1 ще не створено (у docs/sprint2 її немає станом на 12.10.2026). Рядок заповнюю після появи файла; без файла «пройшло» не ставлю.</t>
        </is>
      </c>
      <c r="G72" s="22" t="n"/>
      <c r="H72" s="22" t="n"/>
    </row>
    <row r="74">
      <c r="A74" s="11" t="inlineStr">
        <is>
          <t>Пояснення</t>
        </is>
      </c>
    </row>
    <row r="75" ht="15" customHeight="1">
      <c r="A75" s="10" t="inlineStr">
        <is>
          <t>Умовні позначки: ✓ перевірено, ✗ не виконано, н/з — не застосовується (рядок відхилено).</t>
        </is>
      </c>
    </row>
    <row r="76" ht="30" customHeight="1">
      <c r="A76" s="10" t="inlineStr">
        <is>
          <t>Реєстр, пп.: 1 ID/локатор є в SRS 1.0; 2 цитата збігається зі SRS 1.0; 3 пункт чек-листа названо й доречний; 4 критерій головний; 5 виправлення готове; 6 виправлення не створює нового дефекту; 7 автор(и) зазначено.</t>
        </is>
      </c>
    </row>
    <row r="77" ht="30" customHeight="1">
      <c r="A77" s="10" t="inlineStr">
        <is>
          <t>План, пп.: 1 Ціль і Опис специфічні для ШопЛайн; 2 Опис виконуваний на demo або обмеження позначено; 3 названо інструменти й дані; 4 пріоритет і незастосовність пояснено; 5 рівні й типи в різних рядках.</t>
        </is>
      </c>
    </row>
    <row r="78" ht="15" customHeight="1">
      <c r="A78" s="10" t="inlineStr">
        <is>
          <t>Чек-листи — офіційні (методичка спринта 2, розд. 4.2–4.7). Рядки, де СМ — автор, рецензує КТ; якщо КТ також співавтор — ІТ; якщо автори всі четверо — незалежного рецензента немає (§4.9).</t>
        </is>
      </c>
    </row>
    <row r="79" ht="15" customHeight="1">
      <c r="A79" s="10" t="inlineStr">
        <is>
          <t>Версії: Реєстр і План — main (92899b6, 12.10.2026). Рецензент СМ: Горбонос О., 12.10.2026.</t>
        </is>
      </c>
    </row>
    <row r="80" ht="15" customHeight="1">
      <c r="A80" s="10" t="inlineStr">
        <is>
          <t>Виконуваність Описів на demo перевірено вибірково (API, редирект /account, форма реєстрації, перемикач мов); повний прогін сценаріїв не виконувався.</t>
        </is>
      </c>
    </row>
    <row r="81" ht="30" customHeight="1">
      <c r="A81" s="10" t="inlineStr">
        <is>
          <t>«Виправлено» і «Повторне підтвердження» заповнюються лише після реальних правок авторів; для рядків, які пройшли з першого разу, повторне підтвердження не потрібне. Редакційні зауваження не змінюють результат, але мають бути враховані до SRS 1.1.</t>
        </is>
      </c>
    </row>
  </sheetData>
  <mergeCells count="7">
    <mergeCell ref="A76:F76"/>
    <mergeCell ref="A80:F80"/>
    <mergeCell ref="A75:F75"/>
    <mergeCell ref="A79:F79"/>
    <mergeCell ref="A78:F78"/>
    <mergeCell ref="A77:F77"/>
    <mergeCell ref="A81:F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2026-10-12T18:58:01Z</dcterms:modified>
</cp:coreProperties>
</file>