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 файл" sheetId="1" state="visible" r:id="rId1"/>
    <sheet xmlns:r="http://schemas.openxmlformats.org/officeDocument/2006/relationships" name="Розподіл розділів" sheetId="2" state="visible" r:id="rId2"/>
    <sheet xmlns:r="http://schemas.openxmlformats.org/officeDocument/2006/relationships" name="audit_horbonos" sheetId="3" state="visible" r:id="rId3"/>
    <sheet xmlns:r="http://schemas.openxmlformats.org/officeDocument/2006/relationships" name="audit_korotka" sheetId="4" state="visible" r:id="rId4"/>
    <sheet xmlns:r="http://schemas.openxmlformats.org/officeDocument/2006/relationships" name="audit_drepina" sheetId="5" state="visible" r:id="rId5"/>
    <sheet xmlns:r="http://schemas.openxmlformats.org/officeDocument/2006/relationships" name="audit_tymchak" sheetId="6" state="visible" r:id="rId6"/>
    <sheet xmlns:r="http://schemas.openxmlformats.org/officeDocument/2006/relationships" name="Реєстр" sheetId="7" state="visible" r:id="rId7"/>
    <sheet xmlns:r="http://schemas.openxmlformats.org/officeDocument/2006/relationships" name="Спірні" sheetId="8" state="visible" r:id="rId8"/>
  </sheets>
  <definedNames>
    <definedName name="_xlnm._FilterDatabase" localSheetId="6" hidden="1">'Реєстр'!$A$1:$J$37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sz val="9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1" fillId="0" borderId="2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1" fillId="3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1" t="inlineStr">
        <is>
          <t>Поле</t>
        </is>
      </c>
      <c r="B1" s="11" t="inlineStr">
        <is>
          <t>Значення</t>
        </is>
      </c>
    </row>
    <row r="2">
      <c r="A2" s="25" t="inlineStr">
        <is>
          <t>Артефакт</t>
        </is>
      </c>
      <c r="B2" s="10" t="inlineStr">
        <is>
          <t>Реєстр дефектів вимог SRS 1.0 (аудит розділів, зведений реєстр, спірні рядки)</t>
        </is>
      </c>
    </row>
    <row r="3">
      <c r="A3" s="25" t="inlineStr">
        <is>
          <t>Продукт</t>
        </is>
      </c>
      <c r="B3" s="10" t="inlineStr">
        <is>
          <t>№1 «ШопЛайн»</t>
        </is>
      </c>
    </row>
    <row r="4">
      <c r="A4" s="25" t="inlineStr">
        <is>
          <t>Спринт</t>
        </is>
      </c>
      <c r="B4" s="10" t="inlineStr">
        <is>
          <t>2 (1–15 жовтня 2026)</t>
        </is>
      </c>
    </row>
    <row r="5">
      <c r="A5" s="25" t="inlineStr">
        <is>
          <t>Дата</t>
        </is>
      </c>
      <c r="B5" s="10" t="inlineStr">
        <is>
          <t>13.10.2026</t>
        </is>
      </c>
    </row>
    <row r="6">
      <c r="A6" s="25" t="inlineStr">
        <is>
          <t>Автори</t>
        </is>
      </c>
      <c r="B6" s="10" t="inlineStr">
        <is>
          <t>Горбонос О. (СМ), Коротка К. (КТ), Дрєпіна А. (ІТ), Тимчак А. (ТА)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Розділ</t>
        </is>
      </c>
      <c r="B1" s="1" t="inlineStr">
        <is>
          <t>Перевіряє 1</t>
        </is>
      </c>
      <c r="C1" s="1" t="inlineStr">
        <is>
          <t>Перевіряє 2</t>
        </is>
      </c>
      <c r="D1" s="1" t="inlineStr">
        <is>
          <t>Дедлайн аудиту</t>
        </is>
      </c>
    </row>
    <row r="2">
      <c r="A2" s="2" t="inlineStr">
        <is>
          <t>1–2 (Вступ, терміни, ролі, середовище, обмеження)</t>
        </is>
      </c>
      <c r="B2" s="2" t="inlineStr">
        <is>
          <t>Горбонос О. (СМ)</t>
        </is>
      </c>
      <c r="C2" s="2" t="inlineStr">
        <is>
          <t>Коротка К. (КТ)</t>
        </is>
      </c>
      <c r="D2" s="2" t="inlineStr">
        <is>
          <t>День 4</t>
        </is>
      </c>
    </row>
    <row r="3">
      <c r="A3" s="2" t="inlineStr">
        <is>
          <t>3 (Функціональні вимоги, F-xx)</t>
        </is>
      </c>
      <c r="B3" s="2" t="inlineStr">
        <is>
          <t>Тимчак А. (ТА)</t>
        </is>
      </c>
      <c r="C3" s="2" t="inlineStr">
        <is>
          <t>Горбонос О. (СМ)</t>
        </is>
      </c>
      <c r="D3" s="2" t="inlineStr">
        <is>
          <t>День 4</t>
        </is>
      </c>
    </row>
    <row r="4">
      <c r="A4" s="2" t="inlineStr">
        <is>
          <t>4 (Інтерфейс користувача, GUI-xx)</t>
        </is>
      </c>
      <c r="B4" s="2" t="inlineStr">
        <is>
          <t>Дрєпіна А. (ІТ)</t>
        </is>
      </c>
      <c r="C4" s="2" t="inlineStr">
        <is>
          <t>Коротка К. (КТ)</t>
        </is>
      </c>
      <c r="D4" s="2" t="inlineStr">
        <is>
          <t>День 4</t>
        </is>
      </c>
    </row>
    <row r="5">
      <c r="A5" s="2" t="inlineStr">
        <is>
          <t>5 (Бізнес-логіка модуля, BL-xx)</t>
        </is>
      </c>
      <c r="B5" s="2" t="inlineStr">
        <is>
          <t>Тимчак А. (ТА)</t>
        </is>
      </c>
      <c r="C5" s="2" t="inlineStr">
        <is>
          <t>Дрєпіна А. (ІТ)</t>
        </is>
      </c>
      <c r="D5" s="2" t="inlineStr">
        <is>
          <t>День 4</t>
        </is>
      </c>
    </row>
    <row r="6">
      <c r="A6" s="2" t="inlineStr">
        <is>
          <t>6 (Нефункціональні вимоги, P-/S-/U-/D-xx)</t>
        </is>
      </c>
      <c r="B6" s="2" t="inlineStr">
        <is>
          <t>Дрєпіна А. (ІТ)</t>
        </is>
      </c>
      <c r="C6" s="2" t="inlineStr">
        <is>
          <t>Коротка К. (КТ)</t>
        </is>
      </c>
      <c r="D6" s="2" t="inlineStr">
        <is>
          <t>День 4</t>
        </is>
      </c>
    </row>
    <row r="8">
      <c r="A8" s="3" t="inlineStr">
        <is>
          <t>Кожен розділ перевіряють рівно двоє незалежно; обговорення знахідок до дня 5 заборонене.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6" customWidth="1" min="4" max="4"/>
    <col width="52" customWidth="1" min="5" max="5"/>
    <col width="62" customWidth="1" min="6" max="6"/>
    <col width="18" customWidth="1" min="7" max="7"/>
    <col width="22" customWidth="1" min="9" max="9"/>
    <col width="12" customWidth="1" min="10" max="10"/>
  </cols>
  <sheetData>
    <row r="1">
      <c r="A1" s="5" t="inlineStr">
        <is>
          <t>№</t>
        </is>
      </c>
      <c r="B1" s="5" t="inlineStr">
        <is>
          <t>ID/локатор</t>
        </is>
      </c>
      <c r="C1" s="5" t="inlineStr">
        <is>
          <t>Критерій</t>
        </is>
      </c>
      <c r="D1" s="5" t="inlineStr">
        <is>
          <t>Пункт чек-листа</t>
        </is>
      </c>
      <c r="E1" s="5" t="inlineStr">
        <is>
          <t>Цитата</t>
        </is>
      </c>
      <c r="F1" s="5" t="inlineStr">
        <is>
          <t>Виправлення</t>
        </is>
      </c>
      <c r="G1" s="5" t="inlineStr">
        <is>
          <t>Хто знайшов</t>
        </is>
      </c>
      <c r="I1" s="6" t="inlineStr">
        <is>
          <t>Критерій</t>
        </is>
      </c>
      <c r="J1" s="6" t="inlineStr">
        <is>
          <t>Рядків</t>
        </is>
      </c>
    </row>
    <row r="2">
      <c r="A2" s="7" t="n">
        <v>1</v>
      </c>
      <c r="B2" s="7" t="inlineStr">
        <is>
          <t>F-20</t>
        </is>
      </c>
      <c r="C2" s="7" t="inlineStr">
        <is>
          <t>Однозначність</t>
        </is>
      </c>
      <c r="D2" s="7" t="inlineStr">
        <is>
          <t>п. 2 (вимога чітка і зрозуміла), п. 4 (допускає єдину інтерпретацію). Цільова сторінка не названа, тож тест-кейс має кілька «очікуваних результатів».</t>
        </is>
      </c>
      <c r="E2" s="7" t="inlineStr">
        <is>
          <t>«Після успішного входу система перенаправляє користувача на відповідну сторінку.»</t>
        </is>
      </c>
      <c r="F2" s="7" t="inlineStr">
        <is>
          <t>«Після успішного входу система перенаправляє покупця на сторінку особистого кабінету (/account); якщо вхід виконано на кроці «Sign in» оформлення замовлення (F-110) — на крок «Billing Address».»</t>
        </is>
      </c>
      <c r="G2" s="7" t="inlineStr">
        <is>
          <t>Горбонос О. (СМ)</t>
        </is>
      </c>
      <c r="I2" s="8" t="inlineStr">
        <is>
          <t>Однозначність</t>
        </is>
      </c>
      <c r="J2" s="8">
        <f>COUNTIF($C$2:$C$11,I2)</f>
        <v/>
      </c>
    </row>
    <row r="3">
      <c r="A3" s="7" t="n">
        <v>2</v>
      </c>
      <c r="B3" s="7" t="inlineStr">
        <is>
          <t>F-60</t>
        </is>
      </c>
      <c r="C3" s="7" t="inlineStr">
        <is>
          <t>Однозначність</t>
        </is>
      </c>
      <c r="D3" s="7" t="inlineStr">
        <is>
          <t>п. 4 (допускає єдину інтерпретацію), п. 3 (трактується в сенсі автора). «Схожі» не задає правила збігу: підрядок, нечіткий пошук чи синоніми.</t>
        </is>
      </c>
      <c r="E3" s="7" t="inlineStr">
        <is>
          <t>«Поле пошуку на головній сторінці дозволяє знайти товари, назви яких схожі на введений запит.»</t>
        </is>
      </c>
      <c r="F3" s="7" t="inlineStr">
        <is>
          <t>«Поле пошуку на головній сторінці дозволяє знайти товари, назви яких містять введений запит (без урахування регістру літер).» (Правило звірено з demo: запит «PLI» повертає «Pliers», «Combination Pliers» та інші.)</t>
        </is>
      </c>
      <c r="G3" s="7" t="inlineStr">
        <is>
          <t>Горбонос О. (СМ)</t>
        </is>
      </c>
      <c r="I3" s="8" t="inlineStr">
        <is>
          <t>Повнота</t>
        </is>
      </c>
      <c r="J3" s="8">
        <f>COUNTIF($C$2:$C$11,I3)</f>
        <v/>
      </c>
    </row>
    <row r="4">
      <c r="A4" s="7" t="n">
        <v>3</v>
      </c>
      <c r="B4" s="7" t="inlineStr">
        <is>
          <t>F-100</t>
        </is>
      </c>
      <c r="C4" s="7" t="inlineStr">
        <is>
          <t>Повнота</t>
        </is>
      </c>
      <c r="D4" s="7" t="inlineStr">
        <is>
          <t>п. 3 (немає посилань на неіснуючі документи). У розділі 5 є вимоги BL-10…BL-80 з кроком 10; BL-25 немає.</t>
        </is>
      </c>
      <c r="E4" s="7" t="inlineStr">
        <is>
          <t>«Обмеження на кількість одиниць у рядку визначає вимога BL-25.»</t>
        </is>
      </c>
      <c r="F4" s="7" t="inlineStr">
        <is>
          <t>«Обмеження на кількість одиниць у рядку (ціле число від 1 до 99 включно) визначає вимога BL-40.»</t>
        </is>
      </c>
      <c r="G4" s="7" t="inlineStr">
        <is>
          <t>Горбонос О. (СМ)</t>
        </is>
      </c>
      <c r="I4" s="8" t="inlineStr">
        <is>
          <t>Несуперечливість</t>
        </is>
      </c>
      <c r="J4" s="8">
        <f>COUNTIF($C$2:$C$11,I4)</f>
        <v/>
      </c>
    </row>
    <row r="5">
      <c r="A5" s="7" t="n">
        <v>4</v>
      </c>
      <c r="B5" s="7" t="inlineStr">
        <is>
          <t>F-140</t>
        </is>
      </c>
      <c r="C5" s="7" t="inlineStr">
        <is>
          <t>Повнота</t>
        </is>
      </c>
      <c r="D5" s="7" t="inlineStr">
        <is>
          <t>п. 4 (обумовлено всі допустимі та недопустимі вхідні дані), п. 5 (реакція на помилки). Для вкладення не задано формат, розмір і реакцію на недопустимий файл.</t>
        </is>
      </c>
      <c r="E5" s="7" t="inlineStr">
        <is>
          <t>«До звернення можна додати файл-вкладення.»</t>
        </is>
      </c>
      <c r="F5" s="7" t="inlineStr">
        <is>
          <t>«До звернення можна додати один файл-вкладення розміром до 5 МБ у форматі PDF, PNG, JPG або TXT; для файлу, що не відповідає цим умовам, система показує повідомлення про недопустимий файл біля поля вкладення і не надсилає звернення (GUI-50).» (Формати й межа 5 МБ — потребує підтвердження замовником.)</t>
        </is>
      </c>
      <c r="G5" s="7" t="inlineStr">
        <is>
          <t>Горбонос О. (СМ)</t>
        </is>
      </c>
      <c r="I5" s="8" t="inlineStr">
        <is>
          <t>Простежуваність</t>
        </is>
      </c>
      <c r="J5" s="8">
        <f>COUNTIF($C$2:$C$11,I5)</f>
        <v/>
      </c>
    </row>
    <row r="6">
      <c r="A6" s="7" t="n">
        <v>5</v>
      </c>
      <c r="B6" s="7" t="inlineStr">
        <is>
          <t>F-110 ↔ BL-60</t>
        </is>
      </c>
      <c r="C6" s="7" t="inlineStr">
        <is>
          <t>Несуперечливість</t>
        </is>
      </c>
      <c r="D6" s="7" t="inlineStr">
        <is>
          <t>п. 2 (вимоги не суперечать одна одній). Різний поріг безкоштовної доставки; у F-110 також не вказано, до чи після знижки рахується сума.</t>
        </is>
      </c>
      <c r="E6" s="7" t="inlineStr">
        <is>
          <t>F-110: «для замовлень від 2000 грн доставка безкоштовна». BL-60: «0.00 грн, якщо сума після знижки не менша за 1500 грн».</t>
        </is>
      </c>
      <c r="F6" s="7" t="inlineStr">
        <is>
          <t>У F-110: «… вартість доставки: 120 грн; якщо сума замовлення після знижки за обсяг становить не менше 1500 грн, доставка безкоштовна.» (Поріг 1500 грн узято з BL-60 — потребує підтвердження замовником.)</t>
        </is>
      </c>
      <c r="G6" s="7" t="inlineStr">
        <is>
          <t>Горбонос О. (СМ)</t>
        </is>
      </c>
      <c r="I6" s="8" t="inlineStr">
        <is>
          <t>Здійсненність</t>
        </is>
      </c>
      <c r="J6" s="8">
        <f>COUNTIF($C$2:$C$11,I6)</f>
        <v/>
      </c>
    </row>
    <row r="7">
      <c r="A7" s="7" t="n">
        <v>6</v>
      </c>
      <c r="B7" s="7" t="inlineStr">
        <is>
          <t>F-120 ↔ GUI-40</t>
        </is>
      </c>
      <c r="C7" s="7" t="inlineStr">
        <is>
          <t>Несуперечливість</t>
        </is>
      </c>
      <c r="D7" s="7" t="inlineStr">
        <is>
          <t>п. 2 (вимоги не суперечать одна одній). На користь правки F-120: 1.3 («Обране» — збережені зареєстрованим покупцем) і 2.1 (обране лише в ролі «Зареєстрований покупець»).</t>
        </is>
      </c>
      <c r="E7" s="7" t="inlineStr">
        <is>
          <t>F-120: «Покупець може додати товар до списку обраного кнопкою «Add to favourites» без входу в систему». GUI-40: «якщо покупець не увійшов у систему, … товар до обраного не додається».</t>
        </is>
      </c>
      <c r="F7" s="7" t="inlineStr">
        <is>
          <t>У F-120: «Зареєстрований покупець, який увійшов у систему, може додати товар до списку обраного кнопкою «Add to favourites»; для неавторизованого покупця поведінку визначає GUI-40. Список обраного доступний у кабінеті («My favorites»), де позицію можна видалити.»</t>
        </is>
      </c>
      <c r="G7" s="7" t="inlineStr">
        <is>
          <t>Горбонос О. (СМ)</t>
        </is>
      </c>
      <c r="I7" s="8" t="inlineStr">
        <is>
          <t>Тестопридатність</t>
        </is>
      </c>
      <c r="J7" s="8">
        <f>COUNTIF($C$2:$C$11,I7)</f>
        <v/>
      </c>
    </row>
    <row r="8">
      <c r="A8" s="7" t="n">
        <v>7</v>
      </c>
      <c r="B8" s="7" t="inlineStr">
        <is>
          <t>F-40 ↔ GUI-20</t>
        </is>
      </c>
      <c r="C8" s="7" t="inlineStr">
        <is>
          <t>Несуперечливість</t>
        </is>
      </c>
      <c r="D8" s="7" t="inlineStr">
        <is>
          <t>п. 2 (вимоги не суперечать одна одній). Різна кількість карток на сторінці; на demo каталог показує 9 карток (сітка 3×3), тож правиться GUI-20.</t>
        </is>
      </c>
      <c r="E8" s="7" t="inlineStr">
        <is>
          <t>F-40: «по 9 карток на сторінці». GUI-20: «у три колонки по 12 карток на сторінці».</t>
        </is>
      </c>
      <c r="F8" s="7" t="inlineStr">
        <is>
          <t>У GUI-20: «Картки каталогу розміщуються сіткою у три колонки по 9 карток на сторінці; картка містить зображення, назву, шкалу класу CO2 і ціну; для відсутнього товару поверх зображення виводиться позначка «Out of stock».»</t>
        </is>
      </c>
      <c r="G8" s="7" t="inlineStr">
        <is>
          <t>Горбонос О. (СМ)</t>
        </is>
      </c>
      <c r="I8" s="9" t="inlineStr">
        <is>
          <t>Разом</t>
        </is>
      </c>
      <c r="J8" s="9">
        <f>SUM(J2:J7)</f>
        <v/>
      </c>
    </row>
    <row r="9">
      <c r="A9" s="7" t="n">
        <v>8</v>
      </c>
      <c r="B9" s="7" t="inlineStr">
        <is>
          <t>2.2 ↔ розд. 6 (вимога про 375 px, без ID)</t>
        </is>
      </c>
      <c r="C9" s="7" t="inlineStr">
        <is>
          <t>Несуперечливість</t>
        </is>
      </c>
      <c r="D9" s="7" t="inlineStr">
        <is>
          <t>п. 2 (вимоги не суперечать одна одній). 2.2 задає мінімальне вікно 1280×800, а вимога розділу 6 — коректний вигляд за ширини 375 px. Відсутній ID у вимозі розділу 6 — окремий дефект простежуваності, у цей рядок не входить.</t>
        </is>
      </c>
      <c r="E9" s="7" t="inlineStr">
        <is>
          <t>2.2: «мінімальна роздільна здатність вікна 1280×800». Розд. 6: «Інтерфейс коректно відображається за ширини вікна 375 пікселів».</t>
        </is>
      </c>
      <c r="F9" s="7" t="inlineStr">
        <is>
          <t>У 2.2: «Підтримувані браузери: Chrome 120 і новіші, Firefox 115 і новіші на настільних операційних системах; підтримувані розміри вікна — від 375 пікселів у ширину (мобільний вигляд інтерфейсу) і більше, основний настільний розмір — 1280×800.» (Мінімальну ширину 375 px узято з розділу 6 — потребує підтвердження замовником.)</t>
        </is>
      </c>
      <c r="G9" s="7" t="inlineStr">
        <is>
          <t>Горбонос О. (СМ)</t>
        </is>
      </c>
    </row>
    <row r="10">
      <c r="A10" s="7" t="n">
        <v>9</v>
      </c>
      <c r="B10" s="7" t="inlineStr">
        <is>
          <t>F-30</t>
        </is>
      </c>
      <c r="C10" s="7" t="inlineStr">
        <is>
          <t>Здійсненність</t>
        </is>
      </c>
      <c r="D10" s="7" t="inlineStr">
        <is>
          <t>Єдиний пункт чек-листа: вимога здійсненна з погляду ресурсів і не залежить від систем, які продукт не контролює. Доставка до скриньки залежить від поштового провайдера одержувача.</t>
        </is>
      </c>
      <c r="E10" s="7" t="inlineStr">
        <is>
          <t>«гарантує його доставку до поштової скриньки користувача не довше ніж за 1 секунду незалежно від поштового провайдера одержувача».</t>
        </is>
      </c>
      <c r="F10" s="7" t="inlineStr">
        <is>
          <t>«Після надсилання форми система формує лист із посиланням для встановлення нового пароля і передає його поштовому сервісу не довше ніж за 1 секунду; час доставки до скриньки залежить від поштового провайдера одержувача і не гарантується.»</t>
        </is>
      </c>
      <c r="G10" s="7" t="inlineStr">
        <is>
          <t>Горбонос О. (СМ)</t>
        </is>
      </c>
      <c r="I10" s="10" t="inlineStr">
        <is>
          <t>Розділи 1–2 і 3. Простежуваність: у цих розділах дефектів немає (ID F-10…F-140 унікальні, крок 10); дефекти ID — у розділах 4–6.</t>
        </is>
      </c>
    </row>
    <row r="11">
      <c r="A11" s="7" t="n">
        <v>10</v>
      </c>
      <c r="B11" s="7" t="inlineStr">
        <is>
          <t>F-90</t>
        </is>
      </c>
      <c r="C11" s="7" t="inlineStr">
        <is>
          <t>Тестопридатність</t>
        </is>
      </c>
      <c r="D11" s="7" t="inlineStr">
        <is>
          <t>Практичний тест: немає критерію «пройдено / не пройдено». Слова-маркери «миттєво» (немає числа) і «без помилок» (не задано, що спостерігати).</t>
        </is>
      </c>
      <c r="E11" s="7" t="inlineStr">
        <is>
          <t>«Натискання «Add to cart» додає товар у кошик у вказаній кількості миттєво і без помилок».</t>
        </is>
      </c>
      <c r="F11" s="7" t="inlineStr">
        <is>
          <t>«Натискання «Add to cart» не довше ніж за 1 с додає товар у кошик у вказаній кількості (позиція з'являється на кроці «Cart»), повідомлення про помилку не виводиться; повторне додавання того самого товару збільшує його кількість у кошику.» (Значення 1 с — потребує підтвердження замовником.)</t>
        </is>
      </c>
      <c r="G11" s="7" t="inlineStr">
        <is>
          <t>Горбонос О. (СМ)</t>
        </is>
      </c>
    </row>
    <row r="12"/>
    <row r="13"/>
    <row r="14"/>
  </sheetData>
  <mergeCells count="1">
    <mergeCell ref="I10:J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0" customWidth="1" min="4" max="4"/>
    <col width="60" customWidth="1" min="5" max="5"/>
    <col width="55" customWidth="1" min="6" max="6"/>
    <col width="16" customWidth="1" min="7" max="7"/>
    <col width="34" customWidth="1" min="8" max="8"/>
    <col width="3" customWidth="1" min="9" max="9"/>
    <col width="18" customWidth="1" min="10" max="10"/>
    <col width="8" customWidth="1" min="11" max="11"/>
  </cols>
  <sheetData>
    <row r="1">
      <c r="A1" s="1" t="inlineStr">
        <is>
          <t>№</t>
        </is>
      </c>
      <c r="B1" s="1" t="inlineStr">
        <is>
          <t>ID/локатор</t>
        </is>
      </c>
      <c r="C1" s="1" t="inlineStr">
        <is>
          <t>Критерій</t>
        </is>
      </c>
      <c r="D1" s="1" t="inlineStr">
        <is>
          <t>Пункт чек-листа</t>
        </is>
      </c>
      <c r="E1" s="1" t="inlineStr">
        <is>
          <t>Цитата</t>
        </is>
      </c>
      <c r="F1" s="1" t="inlineStr">
        <is>
          <t>Виправлення</t>
        </is>
      </c>
      <c r="G1" s="1" t="inlineStr">
        <is>
          <t>Хто знайшов</t>
        </is>
      </c>
      <c r="H1" s="1" t="inlineStr">
        <is>
          <t>Примітка</t>
        </is>
      </c>
      <c r="J1" s="11" t="inlineStr">
        <is>
          <t>Критерій</t>
        </is>
      </c>
      <c r="K1" s="11" t="inlineStr">
        <is>
          <t>Рядків</t>
        </is>
      </c>
    </row>
    <row r="2">
      <c r="A2" s="12" t="n">
        <v>1</v>
      </c>
      <c r="B2" s="12" t="inlineStr">
        <is>
          <t>розд. 2.2 ↔ розд. 6, рядок 7, без ID</t>
        </is>
      </c>
      <c r="C2" s="12" t="inlineStr">
        <is>
          <t>Несуперечливість</t>
        </is>
      </c>
      <c r="D2" s="12" t="inlineStr">
        <is>
          <t>п. 2 — вимоги не суперечать одна одній</t>
        </is>
      </c>
      <c r="E2" s="12" t="inlineStr">
        <is>
          <t>«Підтримувані браузери: Chrome 120 і новіші, Firefox 115 і новіші на настільних операційних системах; мінімальна роздільна здатність вікна 1280×800» (2.2) суперечить «Інтерфейс коректно відображається за ширини вікна 375 пікселів … кнопками, придатними для натискання пальцем (не менше 44×44 пікселі)» (розд. 6). 2.2 обмежує продукт настільними ОС і шириною від 1280 пікселів, а розд. 6 вимагає мобільної ширини 375 пікселів і сенсорного керування.</t>
        </is>
      </c>
      <c r="F2" s="12" t="inlineStr">
        <is>
          <t>2.2: «Підтримувані браузери: Chrome 120 і новіші, Firefox 115 і новіші на настільних операційних системах, Chrome для Android 120 і новіші, Safari для iOS 17 і новіші; мінімальна ширина вікна — 375 пікселів.»</t>
        </is>
      </c>
      <c r="G2" s="12" t="inlineStr">
        <is>
          <t>Коротка К. (КТ)</t>
        </is>
      </c>
      <c r="H2" s="12" t="inlineStr">
        <is>
          <t>Версії мобільних браузерів — потребує підтвердження замовником. Пов'язано з рядком 14.</t>
        </is>
      </c>
      <c r="J2" t="inlineStr">
        <is>
          <t>Однозначність</t>
        </is>
      </c>
      <c r="K2">
        <f>COUNTIF($C$2:$C$19,J2)</f>
        <v/>
      </c>
    </row>
    <row r="3">
      <c r="A3" s="12" t="n">
        <v>2</v>
      </c>
      <c r="B3" s="12" t="inlineStr">
        <is>
          <t>GUI-10</t>
        </is>
      </c>
      <c r="C3" s="12" t="inlineStr">
        <is>
          <t>Повнота</t>
        </is>
      </c>
      <c r="D3" s="12" t="inlineStr">
        <is>
          <t>п. 1 — вимога містить повну інформацію</t>
        </is>
      </c>
      <c r="E3" s="12" t="inlineStr">
        <is>
          <t>«…«Sign in» та перемикач мови інтерфейсу» — не вказано, які мови доступні і яка мова за замовчуванням (у 2.2: «Інтерфейс demo — англійською мовою»).</t>
        </is>
      </c>
      <c r="F3" s="12" t="inlineStr">
        <is>
          <t>«…«Sign in» та перемикач мови інтерфейсу з варіантами DE, EL, EN, ES, FR, NL, TR; мова за замовчуванням — EN.»</t>
        </is>
      </c>
      <c r="G3" s="12" t="inlineStr">
        <is>
          <t>Коротка К. (КТ)</t>
        </is>
      </c>
      <c r="H3" s="12" t="inlineStr">
        <is>
          <t>Перелік мов звірено з demo 01.10.2026. Середня впевненість.</t>
        </is>
      </c>
      <c r="J3" t="inlineStr">
        <is>
          <t>Повнота</t>
        </is>
      </c>
      <c r="K3">
        <f>COUNTIF($C$2:$C$19,J3)</f>
        <v/>
      </c>
    </row>
    <row r="4">
      <c r="A4" s="12" t="n">
        <v>3</v>
      </c>
      <c r="B4" s="12" t="inlineStr">
        <is>
          <t>GUI-20 ↔ F-40</t>
        </is>
      </c>
      <c r="C4" s="12" t="inlineStr">
        <is>
          <t>Несуперечливість</t>
        </is>
      </c>
      <c r="D4" s="12" t="inlineStr">
        <is>
          <t>п. 2 — вимоги не суперечать одна одній</t>
        </is>
      </c>
      <c r="E4" s="12" t="inlineStr">
        <is>
          <t>«Картки каталогу розміщуються сіткою у три колонки по 12 карток на сторінці» (GUI-20) суперечить «по 9 карток на сторінці» (F-40).</t>
        </is>
      </c>
      <c r="F4" s="12" t="inlineStr">
        <is>
          <t>GUI-20: «Картки каталогу розміщуються сіткою у три колонки по 9 карток на сторінці (три ряди); …» (решта без змін).</t>
        </is>
      </c>
      <c r="G4" s="12" t="inlineStr">
        <is>
          <t>Коротка К. (КТ)</t>
        </is>
      </c>
      <c r="H4" s="12" t="inlineStr">
        <is>
          <t>9 карток — як у F-40 і в demo (перевірено 01.10.2026).</t>
        </is>
      </c>
      <c r="J4" t="inlineStr">
        <is>
          <t>Несуперечливість</t>
        </is>
      </c>
      <c r="K4">
        <f>COUNTIF($C$2:$C$19,J4)</f>
        <v/>
      </c>
    </row>
    <row r="5">
      <c r="A5" s="12" t="n">
        <v>4</v>
      </c>
      <c r="B5" s="12" t="inlineStr">
        <is>
          <t>GUI-30 ↔ BL-10, BL-40</t>
        </is>
      </c>
      <c r="C5" s="12" t="inlineStr">
        <is>
          <t>Несуперечливість</t>
        </is>
      </c>
      <c r="D5" s="12" t="inlineStr">
        <is>
          <t>п. 2 — вимоги не суперечать одна одній</t>
        </is>
      </c>
      <c r="E5" s="12" t="inlineStr">
        <is>
          <t>«приймає значення від 0 до 100» (GUI-30) суперечить «qty — ціле число від 1 до 99 включно» (BL-10) і «встановлює нову кількість від 1 до 99 включно» (BL-40): інтерфейс дозволяє 0 і 100, які модуль відхиляє.</t>
        </is>
      </c>
      <c r="F5" s="12" t="inlineStr">
        <is>
          <t>GUI-30: «Поле «Quantity» на сторінці товару — числове, з кнопками «−» і «+» ліворуч і праворуч; приймає цілі значення від 1 до 99 включно; значення за замовчуванням — 1.»</t>
        </is>
      </c>
      <c r="G5" s="12" t="inlineStr">
        <is>
          <t>Коротка К. (КТ)</t>
        </is>
      </c>
      <c r="H5" s="12" t="n"/>
      <c r="J5" t="inlineStr">
        <is>
          <t>Простежуваність</t>
        </is>
      </c>
      <c r="K5">
        <f>COUNTIF($C$2:$C$19,J5)</f>
        <v/>
      </c>
    </row>
    <row r="6">
      <c r="A6" s="12" t="n">
        <v>5</v>
      </c>
      <c r="B6" s="12" t="inlineStr">
        <is>
          <t>F-120 ↔ GUI-40</t>
        </is>
      </c>
      <c r="C6" s="12" t="inlineStr">
        <is>
          <t>Несуперечливість</t>
        </is>
      </c>
      <c r="D6" s="12" t="inlineStr">
        <is>
          <t>п. 2 — вимоги не суперечать одна одній</t>
        </is>
      </c>
      <c r="E6" s="12" t="inlineStr">
        <is>
          <t>«Покупець може додати товар до списку обраного кнопкою «Add to favourites» без входу в систему» (F-120) суперечить GUI-40: «якщо покупець не увійшов у систему, після натискання виводиться повідомлення «Unauthorized, can not add product to your favorite list», і товар до обраного не додається»; також 1.3 («Список товарів, збережених зареєстрованим покупцем») і 2.1 (обране — лише зареєстрованому покупцю).</t>
        </is>
      </c>
      <c r="F6" s="12" t="inlineStr">
        <is>
          <t>F-120: «Зареєстрований покупець, який увійшов у систему, додає товар до списку обраного кнопкою «Add to favourites»; для неавторизованого користувача діє GUI-40. Список обраного доступний у кабінеті («My favorites»), де позицію можна видалити.»</t>
        </is>
      </c>
      <c r="G6" s="12" t="inlineStr">
        <is>
          <t>Коротка К. (КТ)</t>
        </is>
      </c>
      <c r="H6" s="12" t="inlineStr">
        <is>
          <t>крос — виправлення в F-120 (розд. 3); виявлено звіркою GUI-40 ↔ F-120.</t>
        </is>
      </c>
      <c r="J6" t="inlineStr">
        <is>
          <t>Здійсненність</t>
        </is>
      </c>
      <c r="K6">
        <f>COUNTIF($C$2:$C$19,J6)</f>
        <v/>
      </c>
    </row>
    <row r="7">
      <c r="A7" s="12" t="n">
        <v>6</v>
      </c>
      <c r="B7" s="12" t="inlineStr">
        <is>
          <t>GUI-50</t>
        </is>
      </c>
      <c r="C7" s="12" t="inlineStr">
        <is>
          <t>Однозначність</t>
        </is>
      </c>
      <c r="D7" s="12" t="inlineStr">
        <is>
          <t>п. 4 — вимога допускає єдину інтерпретацію</t>
        </is>
      </c>
      <c r="E7" s="12" t="inlineStr">
        <is>
          <t>«відображається біля відповідного поля або у верхній частині форми» — «або» дає два допустимі місця; очікуваний результат тест-кейсу неоднозначний, різні форми можуть поводитися по-різному.</t>
        </is>
      </c>
      <c r="F7" s="12" t="inlineStr">
        <is>
          <t>«Повідомлення про помилку валідації поля форми відображається текстом безпосередньо під відповідним полем; форма, що містить помилки, не надсилається.»</t>
        </is>
      </c>
      <c r="G7" s="12" t="inlineStr">
        <is>
          <t>Коротка К. (КТ)</t>
        </is>
      </c>
      <c r="H7" s="12" t="inlineStr">
        <is>
          <t>Місце виводу — потребує підтвердження замовником. Середня впевненість.</t>
        </is>
      </c>
      <c r="J7" t="inlineStr">
        <is>
          <t>Тестопридатність</t>
        </is>
      </c>
      <c r="K7">
        <f>COUNTIF($C$2:$C$19,J7)</f>
        <v/>
      </c>
    </row>
    <row r="8">
      <c r="A8" s="12" t="n">
        <v>7</v>
      </c>
      <c r="B8" s="12" t="inlineStr">
        <is>
          <t>GUI-60 (два рядки)</t>
        </is>
      </c>
      <c r="C8" s="12" t="inlineStr">
        <is>
          <t>Простежуваність</t>
        </is>
      </c>
      <c r="D8" s="12" t="inlineStr">
        <is>
          <t>п. 2 — усі вимоги мають унікальний ідентифікатор</t>
        </is>
      </c>
      <c r="E8" s="12" t="inlineStr">
        <is>
          <t>Дві різні вимоги мають однаковий ID: «GUI-60 Форма входу містить поля «Email address» та «Password»…» і «GUI-60 Форма реєстрації містить поля у такому порядку…».</t>
        </is>
      </c>
      <c r="F8" s="12" t="inlineStr">
        <is>
          <t>Залишити GUI-60 за формою входу; формі реєстрації присвоїти вільний проміжний ID GUI-65 (між GUI-60 і GUI-70); решту ID не змінювати.</t>
        </is>
      </c>
      <c r="G8" s="12" t="inlineStr">
        <is>
          <t>Коротка К. (КТ)</t>
        </is>
      </c>
      <c r="H8" s="12" t="n"/>
      <c r="J8" s="11" t="inlineStr">
        <is>
          <t>Разом</t>
        </is>
      </c>
      <c r="K8" s="11">
        <f>SUM(K2:K7)</f>
        <v/>
      </c>
    </row>
    <row r="9">
      <c r="A9" s="12" t="n">
        <v>8</v>
      </c>
      <c r="B9" s="12" t="inlineStr">
        <is>
          <t>GUI-70</t>
        </is>
      </c>
      <c r="C9" s="12" t="inlineStr">
        <is>
          <t>Однозначність</t>
        </is>
      </c>
      <c r="D9" s="12" t="inlineStr">
        <is>
          <t>п. 1, 4 — вимога має одне значення й допускає єдину інтерпретацію</t>
        </is>
      </c>
      <c r="E9" s="12" t="inlineStr">
        <is>
          <t>«Порожній кошик відображає текстове повідомлення замість таблиці» — не вказано, яке саме повідомлення; тест-кейс не має очікуваного результату.</t>
        </is>
      </c>
      <c r="F9" s="12" t="inlineStr">
        <is>
          <t>«Порожній кошик відображає замість таблиці текст «The cart is empty».»</t>
        </is>
      </c>
      <c r="G9" s="12" t="inlineStr">
        <is>
          <t>Коротка К. (КТ)</t>
        </is>
      </c>
      <c r="H9" s="12" t="inlineStr">
        <is>
          <t>Текст повідомлення — потребує підтвердження замовником. Середня впевненість.</t>
        </is>
      </c>
    </row>
    <row r="10">
      <c r="A10" s="12" t="n">
        <v>9</v>
      </c>
      <c r="B10" s="12" t="inlineStr">
        <is>
          <t>GUI-80</t>
        </is>
      </c>
      <c r="C10" s="12" t="inlineStr">
        <is>
          <t>Здійсненність</t>
        </is>
      </c>
      <c r="D10" s="12" t="inlineStr">
        <is>
          <t>єдиний пункт — технічні ресурси; залежність від систем, які продукт не контролює</t>
        </is>
      </c>
      <c r="E10" s="12" t="inlineStr">
        <is>
          <t>«…у роздільній здатності не менше 8K (7680×4320 пікселів) без стиснення і завантажуються не довше ніж за 50 мс кожне за будь-якого з'єднання з Інтернетом» — нестиснене 8K-зображення ≈ 100 МБ; завантаження за 50 мс потребує ≈ 16 Гбіт/с, а швидкість з'єднання користувача продукт не контролює.</t>
        </is>
      </c>
      <c r="F10" s="12" t="inlineStr">
        <is>
          <t>«Зображення товару на сторінці товару мають роздільну здатність не менше 1200×1200 пікселів, на картках каталогу — не менше 400×400 пікселів; за з'єднання 10 Мбіт/с зображення картки завантажується не довше ніж за 1 с.»</t>
        </is>
      </c>
      <c r="G10" s="12" t="inlineStr">
        <is>
          <t>Коротка К. (КТ)</t>
        </is>
      </c>
      <c r="H10" s="12" t="inlineStr">
        <is>
          <t>Значення — потребує підтвердження замовником.</t>
        </is>
      </c>
    </row>
    <row r="11">
      <c r="A11" s="12" t="n">
        <v>10</v>
      </c>
      <c r="B11" s="12" t="inlineStr">
        <is>
          <t>GUI-100</t>
        </is>
      </c>
      <c r="C11" s="12" t="inlineStr">
        <is>
          <t>Тестопридатність</t>
        </is>
      </c>
      <c r="D11" s="12" t="inlineStr">
        <is>
          <t>немає критерію «пройдено / не пройдено»; слова-маркери</t>
        </is>
      </c>
      <c r="E11" s="12" t="inlineStr">
        <is>
          <t>«Кольорова схема інтерфейсу є приємною і сучасною, а шрифти — легкими для читання на всіх сторінках» — «приємною», «сучасною», «легкими для читання» неможливо перевірити однозначно.</t>
        </is>
      </c>
      <c r="F11" s="12" t="inlineStr">
        <is>
          <t>«На всіх сторінках контраст основного тексту до фону — не менше 4,5:1, розмір шрифту основного тексту — не менше 14 пікселів.»</t>
        </is>
      </c>
      <c r="G11" s="12" t="inlineStr">
        <is>
          <t>Коротка К. (КТ)</t>
        </is>
      </c>
      <c r="H11" s="12" t="inlineStr">
        <is>
          <t>Значення — потребує підтвердження замовником.</t>
        </is>
      </c>
    </row>
    <row r="12">
      <c r="A12" s="12" t="n">
        <v>11</v>
      </c>
      <c r="B12" s="12" t="inlineStr">
        <is>
          <t>P-10</t>
        </is>
      </c>
      <c r="C12" s="12" t="inlineStr">
        <is>
          <t>Здійсненність</t>
        </is>
      </c>
      <c r="D12" s="12" t="inlineStr">
        <is>
          <t>єдиний пункт — залежність від систем, які продукт не контролює</t>
        </is>
      </c>
      <c r="E12" s="12" t="inlineStr">
        <is>
          <t>«…повністю завантажується не довше ніж за 0,1 с за будь-якого з'єднання з Інтернетом і на будь-якому пристрої» — час залежить від з'єднання й пристрою користувача; до того ж P-20 дозволяє відповідь API каталогу до 1 с, тож сторінка з даними API не завантажиться за 0,1 с.</t>
        </is>
      </c>
      <c r="F12" s="12" t="inlineStr">
        <is>
          <t>«Сторінка каталогу повністю завантажується не довше ніж за 3 с у 95 % вимірювань у Chrome 120 на настільному комп'ютері за з'єднання 10 Мбіт/с (20 вимірювань інструментом Lighthouse).»</t>
        </is>
      </c>
      <c r="G12" s="12" t="inlineStr">
        <is>
          <t>Коротка К. (КТ)</t>
        </is>
      </c>
      <c r="H12" s="12" t="inlineStr">
        <is>
          <t>Значення — потребує підтвердження замовником.</t>
        </is>
      </c>
    </row>
    <row r="13">
      <c r="A13" s="12" t="n">
        <v>12</v>
      </c>
      <c r="B13" s="12" t="inlineStr">
        <is>
          <t>S-10</t>
        </is>
      </c>
      <c r="C13" s="12" t="inlineStr">
        <is>
          <t>Тестопридатність</t>
        </is>
      </c>
      <c r="D13" s="12" t="inlineStr">
        <is>
          <t>немає критерію «пройдено / не пройдено»; слово-маркер «надійно»</t>
        </is>
      </c>
      <c r="E13" s="12" t="inlineStr">
        <is>
          <t>«Дані покупців надійно захищені, а система не містить вразливостей» — що спостерігати, невідомо; відсутність вразливостей неможливо довести тестом.</t>
        </is>
      </c>
      <c r="F13" s="12" t="inlineStr">
        <is>
          <t>«Паролі покупців зберігаються лише у вигляді хешу bcrypt; сторінки й API доступні лише через HTTPS (запит по HTTP перенаправляється на HTTPS); запит до даних покупця Б з токеном покупця А повертає код 403.»</t>
        </is>
      </c>
      <c r="G13" s="12" t="inlineStr">
        <is>
          <t>Коротка К. (КТ)</t>
        </is>
      </c>
      <c r="H13" s="12" t="inlineStr">
        <is>
          <t>Перелік заходів — потребує підтвердження замовником. «Не містить вразливостей» порушує й здійсненність, але головний критерій — тестопридатність.</t>
        </is>
      </c>
    </row>
    <row r="14">
      <c r="A14" s="12" t="n">
        <v>13</v>
      </c>
      <c r="B14" s="12" t="inlineStr">
        <is>
          <t>U-10</t>
        </is>
      </c>
      <c r="C14" s="12" t="inlineStr">
        <is>
          <t>Тестопридатність</t>
        </is>
      </c>
      <c r="D14" s="12" t="inlineStr">
        <is>
          <t>немає критерію «пройдено / не пройдено»; слова-маркери «інтуїтивно», «зручно»</t>
        </is>
      </c>
      <c r="E14" s="12" t="inlineStr">
        <is>
          <t>«Інтерфейс є інтуїтивно зрозумілим і зручним для всіх категорій користувачів».</t>
        </is>
      </c>
      <c r="F14" s="12" t="inlineStr">
        <is>
          <t>«Новий користувач без інструкції знаходить товар пошуком, додає його в кошик і доходить до кроку «Payment» не довше ніж за 3 хв і не більше ніж з однією помилкою; перевірка на 5 учасниках, критерій — 4 з 5.»</t>
        </is>
      </c>
      <c r="G14" s="12" t="inlineStr">
        <is>
          <t>Коротка К. (КТ)</t>
        </is>
      </c>
      <c r="H14" s="12" t="inlineStr">
        <is>
          <t>Значення — потребує підтвердження замовником.</t>
        </is>
      </c>
    </row>
    <row r="15">
      <c r="A15" s="12" t="n">
        <v>14</v>
      </c>
      <c r="B15" s="12" t="inlineStr">
        <is>
          <t>розд. 6, рядок 7 (між U-20 і D-10), без ID</t>
        </is>
      </c>
      <c r="C15" s="12" t="inlineStr">
        <is>
          <t>Простежуваність</t>
        </is>
      </c>
      <c r="D15" s="12" t="inlineStr">
        <is>
          <t>п. 2 — усі вимоги мають унікальний ідентифікатор</t>
        </is>
      </c>
      <c r="E15" s="12" t="inlineStr">
        <is>
          <t>«Інтерфейс коректно відображається за ширини вікна 375 пікселів: без горизонтального прокручування, з доступним меню навігації та кнопками, придатними для натискання пальцем (не менше 44×44 пікселі)» — рядок вимоги без ідентифікатора.</t>
        </is>
      </c>
      <c r="F15" s="12" t="inlineStr">
        <is>
          <t>Присвоїти вільний ID U-30 (наступний у групі U, крок 10).</t>
        </is>
      </c>
      <c r="G15" s="12" t="inlineStr">
        <is>
          <t>Коротка К. (КТ)</t>
        </is>
      </c>
      <c r="H15" s="12" t="inlineStr">
        <is>
          <t>Зміст рядка суперечить 2.2 — див. рядок 1.</t>
        </is>
      </c>
    </row>
    <row r="16">
      <c r="A16" s="12" t="n">
        <v>15</v>
      </c>
      <c r="B16" s="12" t="inlineStr">
        <is>
          <t>D-10</t>
        </is>
      </c>
      <c r="C16" s="12" t="inlineStr">
        <is>
          <t>Повнота</t>
        </is>
      </c>
      <c r="D16" s="12" t="inlineStr">
        <is>
          <t>п. 3 — немає посилань на неіснуючі документи</t>
        </is>
      </c>
      <c r="E16" s="12" t="inlineStr">
        <is>
          <t>«розділ про програму лояльності укладено згідно з «Регламентом програми лояльності ШопЛайн-ЛП-2025», розділ 4» — цього документа немає в 1.4 «Посилання».</t>
        </is>
      </c>
      <c r="F16" s="12" t="inlineStr">
        <is>
          <t>«…розділ про програму лояльності описує правила BL-50 – BL-80 цієї специфікації (знижка за обсяг, вартість доставки, промокоди).»</t>
        </is>
      </c>
      <c r="G16" s="12" t="inlineStr">
        <is>
          <t>Коротка К. (КТ)</t>
        </is>
      </c>
      <c r="H16" s="12" t="inlineStr">
        <is>
          <t>Якщо регламент існує — додати його до 1.4 (потребує підтвердження замовником).</t>
        </is>
      </c>
    </row>
    <row r="17">
      <c r="A17" s="12" t="n">
        <v>16</v>
      </c>
      <c r="B17" s="12" t="inlineStr">
        <is>
          <t>F-110 ↔ BL-60</t>
        </is>
      </c>
      <c r="C17" s="12" t="inlineStr">
        <is>
          <t>Несуперечливість</t>
        </is>
      </c>
      <c r="D17" s="12" t="inlineStr">
        <is>
          <t>п. 2 — вимоги не суперечать одна одній</t>
        </is>
      </c>
      <c r="E17" s="12" t="inlineStr">
        <is>
          <t>«вартість доставки: 120 грн, а для замовлень від 2000 грн доставка безкоштовна» (F-110) суперечить «0.00 грн, якщо сума після знижки не менша за 1500 грн; інакше 120.00 грн» (BL-60): різний поріг (2000 / 1500) і різна база (сума замовлення / сума після знижки).</t>
        </is>
      </c>
      <c r="F17" s="12" t="inlineStr">
        <is>
          <t>F-110: «…знижку за промокодом і вартість доставки, обчислену за BL-60.»</t>
        </is>
      </c>
      <c r="G17" s="12" t="inlineStr">
        <is>
          <t>Коротка К. (КТ)</t>
        </is>
      </c>
      <c r="H17" s="12" t="inlineStr">
        <is>
          <t>крос (розд. 3, 5). Правильний поріг — потребує підтвердження замовником.</t>
        </is>
      </c>
    </row>
    <row r="18">
      <c r="A18" s="12" t="n">
        <v>17</v>
      </c>
      <c r="B18" s="12" t="inlineStr">
        <is>
          <t>F-100</t>
        </is>
      </c>
      <c r="C18" s="12" t="inlineStr">
        <is>
          <t>Повнота</t>
        </is>
      </c>
      <c r="D18" s="12" t="inlineStr">
        <is>
          <t>п. 3 (і п. 1) — немає посилань на неіснуюче</t>
        </is>
      </c>
      <c r="E18" s="12" t="inlineStr">
        <is>
          <t>«Обмеження на кількість одиниць у рядку визначає вимога BL-25» — вимоги BL-25 у специфікації немає.</t>
        </is>
      </c>
      <c r="F18" s="12" t="inlineStr">
        <is>
          <t>«Обмеження на кількість одиниць у рядку (від 1 до 99) визначають вимоги BL-10, BL-20 і BL-40.»</t>
        </is>
      </c>
      <c r="G18" s="12" t="inlineStr">
        <is>
          <t>Коротка К. (КТ)</t>
        </is>
      </c>
      <c r="H18" s="12" t="inlineStr">
        <is>
          <t>крос (розд. 3).</t>
        </is>
      </c>
    </row>
    <row r="19">
      <c r="A19" s="12" t="n">
        <v>18</v>
      </c>
      <c r="B19" s="12" t="inlineStr">
        <is>
          <t>BL-30 ↔ BL-20</t>
        </is>
      </c>
      <c r="C19" s="12" t="inlineStr">
        <is>
          <t>Простежуваність</t>
        </is>
      </c>
      <c r="D19" s="12" t="inlineStr">
        <is>
          <t>п. 1, 5 — вимоги унікальні й не перекриваються за змістом</t>
        </is>
      </c>
      <c r="E19" s="12" t="inlineStr">
        <is>
          <t>BL-30 «Якщо в кошику вже є товар із таким самим артикулом, система не додає окремий рядок, а збільшує кількість у наявному рядку на вказане значення» повторює BL-20 «Повторне додавання позиції з тим самим sku не створює новий рядок, а збільшує кількість наявного рядка на qty».</t>
        </is>
      </c>
      <c r="F19" s="12" t="inlineStr">
        <is>
          <t>Залишити BL-20; BL-30 вилучити із записом у журналі змін (номер не перевикористовувати), посилання на BL-30 замінити на BL-20.</t>
        </is>
      </c>
      <c r="G19" s="12" t="inlineStr">
        <is>
          <t>Коротка К. (КТ)</t>
        </is>
      </c>
      <c r="H19" s="12" t="inlineStr">
        <is>
          <t>крос (розд. 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6" customWidth="1" min="4" max="4"/>
    <col width="52" customWidth="1" min="5" max="5"/>
    <col width="62" customWidth="1" min="6" max="6"/>
    <col width="18" customWidth="1" min="7" max="7"/>
    <col width="13" customWidth="1" min="8" max="8"/>
    <col width="22" customWidth="1" min="9" max="9"/>
    <col width="12" customWidth="1" min="10" max="10"/>
  </cols>
  <sheetData>
    <row r="1">
      <c r="A1" s="13" t="inlineStr">
        <is>
          <t>№</t>
        </is>
      </c>
      <c r="B1" s="13" t="inlineStr">
        <is>
          <t>ID/локатор</t>
        </is>
      </c>
      <c r="C1" s="13" t="inlineStr">
        <is>
          <t>Критерій</t>
        </is>
      </c>
      <c r="D1" s="13" t="inlineStr">
        <is>
          <t>Пункт чек-листа</t>
        </is>
      </c>
      <c r="E1" s="13" t="inlineStr">
        <is>
          <t>Цитата</t>
        </is>
      </c>
      <c r="F1" s="13" t="inlineStr">
        <is>
          <t>Виправлення</t>
        </is>
      </c>
      <c r="G1" s="13" t="inlineStr">
        <is>
          <t>Хто знайшов</t>
        </is>
      </c>
      <c r="I1" s="14" t="inlineStr">
        <is>
          <t>Критерій</t>
        </is>
      </c>
      <c r="J1" s="14" t="inlineStr">
        <is>
          <t>Рядків</t>
        </is>
      </c>
    </row>
    <row r="2">
      <c r="A2" s="15" t="n">
        <v>1</v>
      </c>
      <c r="B2" s="16" t="inlineStr">
        <is>
          <t>GUI-20 ↔ F-40</t>
        </is>
      </c>
      <c r="C2" s="16" t="inlineStr">
        <is>
          <t>Несуперечливість</t>
        </is>
      </c>
      <c r="D2" s="16" t="inlineStr">
        <is>
          <t>п. 2 (вимоги не суперечать одна одній)</t>
        </is>
      </c>
      <c r="E2" s="16" t="inlineStr">
        <is>
          <t>«Картки каталогу розміщуються сіткою у три колонки по 12 карток на сторінці» — суперечить F-40 («по 9 карток на сторінці, з посторінковою навігацією»).</t>
        </is>
      </c>
      <c r="F2" s="16" t="inlineStr">
        <is>
          <t>«Картки каталогу розміщуються сіткою у три колонки по 9 карток на сторінці; картка містить зображення, назву, шкалу класу CO2 і ціну; для відсутнього товару поверх зображення виводиться позначка "Out of stock".»</t>
        </is>
      </c>
      <c r="G2" s="15" t="inlineStr">
        <is>
          <t>Дрєпіна А. (ІТ)</t>
        </is>
      </c>
      <c r="I2" s="17" t="inlineStr">
        <is>
          <t>Однозначність</t>
        </is>
      </c>
      <c r="J2" s="18">
        <f>COUNTIF($C$2:$C$17,I2)</f>
        <v/>
      </c>
    </row>
    <row r="3">
      <c r="A3" s="15" t="n">
        <v>2</v>
      </c>
      <c r="B3" s="16" t="inlineStr">
        <is>
          <t>GUI-30 ↔ BL-10</t>
        </is>
      </c>
      <c r="C3" s="16" t="inlineStr">
        <is>
          <t>Несуперечливість</t>
        </is>
      </c>
      <c r="D3" s="16" t="inlineStr">
        <is>
          <t>п. 2 (вимоги не суперечать одна одній)</t>
        </is>
      </c>
      <c r="E3" s="16" t="inlineStr">
        <is>
          <t>«приймає значення від 0 до 100; значення за замовчуванням — 1» — суперечить BL-10 («qty — ціле число від 1 до 99 включно»). Поле дозволяє ввести 0 та 100, що призведе до невідповідності з модулем бізнес-логіки.</t>
        </is>
      </c>
      <c r="F3" s="16" t="inlineStr">
        <is>
          <t>«Поле "Quantity" на сторінці товару числове, з кнопками "-" і "+" ліворуч і праворуч; приймає значення від 1 до 99 включно; значення за замовчуванням — 1.»</t>
        </is>
      </c>
      <c r="G3" s="15" t="inlineStr">
        <is>
          <t>Дрєпіна А. (ІТ)</t>
        </is>
      </c>
      <c r="I3" s="17" t="inlineStr">
        <is>
          <t>Повнота</t>
        </is>
      </c>
      <c r="J3" s="18">
        <f>COUNTIF($C$2:$C$17,I3)</f>
        <v/>
      </c>
    </row>
    <row r="4">
      <c r="A4" s="15" t="n">
        <v>3</v>
      </c>
      <c r="B4" s="16" t="inlineStr">
        <is>
          <t>F-120 ↔ GUI-40</t>
        </is>
      </c>
      <c r="C4" s="16" t="inlineStr">
        <is>
          <t>Несуперечливість</t>
        </is>
      </c>
      <c r="D4" s="16" t="inlineStr">
        <is>
          <t>п. 2 (вимоги не суперечать одна одній)</t>
        </is>
      </c>
      <c r="E4" s="16" t="inlineStr">
        <is>
          <t>«Покупець може додати товар до списку обраного кнопкою "Add to favourites" без входу в систему» — суперечить GUI-40 («якщо покупець не увійшов у систему... виводиться повідомлення "Unauthorized...", і товар до обраного не додається»), а також розділам 1.3 («Обране — список товарів, збережених зареєстрованим покупцем») та 2.1 (роль «Гість» не має обраного).</t>
        </is>
      </c>
      <c r="F4" s="16" t="inlineStr">
        <is>
          <t>Нова редакція F-120: «Покупець може додати товар до списку обраного кнопкою "Add to favourites" лише після входу в систему; список обраного доступний у кабінеті ("My favorites"), де позицію можна видалити (потребує підтвердження замовником).»</t>
        </is>
      </c>
      <c r="G4" s="15" t="inlineStr">
        <is>
          <t>Дрєпіна А. (ІТ)</t>
        </is>
      </c>
      <c r="I4" s="17" t="inlineStr">
        <is>
          <t>Несуперечливість</t>
        </is>
      </c>
      <c r="J4" s="18">
        <f>COUNTIF($C$2:$C$17,I4)</f>
        <v/>
      </c>
    </row>
    <row r="5">
      <c r="A5" s="15" t="n">
        <v>4</v>
      </c>
      <c r="B5" s="16" t="inlineStr">
        <is>
          <t>GUI-60 (форма реєстрації)</t>
        </is>
      </c>
      <c r="C5" s="16" t="inlineStr">
        <is>
          <t>Простежуваність</t>
        </is>
      </c>
      <c r="D5" s="16" t="inlineStr">
        <is>
          <t>п. 2 (усі вимоги мають унікальний ідентифікатор)</t>
        </is>
      </c>
      <c r="E5" s="16" t="inlineStr">
        <is>
          <t>«GUI-60 Форма реєстрації містить поля у такому порядку: First name, Last name...» — ідентифікатор GUI-60 продубльовано для двох різних вимог (форма входу та форма реєстрації).</t>
        </is>
      </c>
      <c r="F5" s="16" t="inlineStr">
        <is>
          <t>Присвоїти формі реєстрації унікальний ідентифікатор «GUI-65» (крок 5 між GUI-60 та GUI-70): «GUI-65 Форма реєстрації містить поля у такому порядку: First name, Last name, Date of Birth, Country, Postal code, House number, Street, City, State, Phone, Email address, Password; під полем пароля виводяться перелік правил для пароля та індикатор надійності...»</t>
        </is>
      </c>
      <c r="G5" s="15" t="inlineStr">
        <is>
          <t>Дрєпіна А. (ІТ)</t>
        </is>
      </c>
      <c r="I5" s="17" t="inlineStr">
        <is>
          <t>Простежуваність</t>
        </is>
      </c>
      <c r="J5" s="18">
        <f>COUNTIF($C$2:$C$17,I5)</f>
        <v/>
      </c>
    </row>
    <row r="6">
      <c r="A6" s="15" t="n">
        <v>5</v>
      </c>
      <c r="B6" s="16" t="inlineStr">
        <is>
          <t>GUI-80</t>
        </is>
      </c>
      <c r="C6" s="16" t="inlineStr">
        <is>
          <t>Здійсненність</t>
        </is>
      </c>
      <c r="D6" s="16" t="inlineStr">
        <is>
          <t>п. 1 (вимоги здійсненні з погляду технічних ресурсів та фізичних обмежень мережі)</t>
        </is>
      </c>
      <c r="E6" s="16" t="inlineStr">
        <is>
          <t>«у роздільній здатності не менше 8К (7680x4320 пікселів) без стиснення і завантажуються не довше ніж за 50 мс кожне за будь-якого з'єднання з Інтернетом» — фізично й технічно нездійсненно: нестиснене зображення такої роздільності важить десятки мегабайт і фізично не завантажиться за 50 мс через затримки мережі (RTT).</t>
        </is>
      </c>
      <c r="F6" s="16" t="inlineStr">
        <is>
          <t>«Зображення товарів на картках каталогу і на сторінці товару оптимізуються для веб-середовища (роздільна здатність до 800x800 пікселів, формат WebP або JPEG, розмір до 250 КБ) і завантажуються не довше ніж за 1,5 с при швидкості підключення від 10 Мбіт/с (потребує підтвердження замовником).»</t>
        </is>
      </c>
      <c r="G6" s="15" t="inlineStr">
        <is>
          <t>Дрєпіна А. (ІТ)</t>
        </is>
      </c>
      <c r="I6" s="17" t="inlineStr">
        <is>
          <t>Здійсненність</t>
        </is>
      </c>
      <c r="J6" s="18">
        <f>COUNTIF($C$2:$C$17,I6)</f>
        <v/>
      </c>
    </row>
    <row r="7">
      <c r="A7" s="15" t="n">
        <v>6</v>
      </c>
      <c r="B7" s="16" t="inlineStr">
        <is>
          <t>GUI-100</t>
        </is>
      </c>
      <c r="C7" s="16" t="inlineStr">
        <is>
          <t>Тестопридатність</t>
        </is>
      </c>
      <c r="D7" s="16" t="inlineStr">
        <is>
          <t>п. 1 (бракує числа або об'єктивного способу спостереження; суб'єктивні оцінки)</t>
        </is>
      </c>
      <c r="E7" s="16" t="inlineStr">
        <is>
          <t>«Кольорова схема інтерфейсу є приємною і сучасною, а шрифти — легкими для читання на всіх сторінках» — суб'єктивні неконкретні маркери («приємною», «сучасною», «легкими для читання»), результат яких неможливо об'єктивно перевірити як Pass/Fail.</t>
        </is>
      </c>
      <c r="F7" s="16" t="inlineStr">
        <is>
          <t>«Кольорова схема інтерфейсу забезпечує коефіцієнт контрастності тексту щодо фону не менше 4.5:1 для основного тексту та не менше 3:1 для великих елементів за стандартом WCAG 2.1 AA; розмір основного шрифту становить не менше 14px (потребує підтвердження замовником).»</t>
        </is>
      </c>
      <c r="G7" s="15" t="inlineStr">
        <is>
          <t>Дрєпіна А. (ІТ)</t>
        </is>
      </c>
      <c r="I7" s="17" t="inlineStr">
        <is>
          <t>Тестопридатність</t>
        </is>
      </c>
      <c r="J7" s="18">
        <f>COUNTIF($C$2:$C$17,I7)</f>
        <v/>
      </c>
    </row>
    <row r="8">
      <c r="A8" s="15" t="n">
        <v>7</v>
      </c>
      <c r="B8" s="16" t="inlineStr">
        <is>
          <t>BL-10</t>
        </is>
      </c>
      <c r="C8" s="16" t="inlineStr">
        <is>
          <t>Однозначність</t>
        </is>
      </c>
      <c r="D8" s="16" t="inlineStr">
        <is>
          <t>п. 4 (допускає єдину інтерпретацію; правило перевірки межі до чи після округлення)</t>
        </is>
      </c>
      <c r="E8" s="16" t="inlineStr">
        <is>
          <t>«unitPrice — сума в гривнях, строго більша за 0; sku — непорожній рядок... Ціна зберігається з округленням до копійок (HALF_UP).» — не визначено однозначно: перевірка умови «unitPrice &gt; 0» виконується ДО чи ПІСЛЯ округлення за правилом HALF_UP (наприклад, значення 0.004 строго більше 0, але після округлення HALF_UP перетворюється на 0.00 грн).</t>
        </is>
      </c>
      <c r="F8" s="16" t="inlineStr">
        <is>
          <t>«Cart.addItem(sku, name, unitPrice, qty) додає позицію до кошика. Допустимі значення: qty — ціле число від 1 до 99 включно; unitPrice — сума в гривнях, яка після обов'язкового округлення за правилом HALF_UP до 2 знаків після коми є строго більшою за 0.00 грн (перевірка "ціна &gt; 0" виконується після нормалізації/округлення); sku — непорожній рядок. За порушення будь-якої умови метод кидає IllegalArgumentException, а вміст кошика не змінюється.»</t>
        </is>
      </c>
      <c r="G8" s="15" t="inlineStr">
        <is>
          <t>Дрєпіна А. (ІТ)</t>
        </is>
      </c>
      <c r="I8" s="19" t="inlineStr">
        <is>
          <t>Разом</t>
        </is>
      </c>
      <c r="J8" s="20">
        <f>SUM(J2:J7)</f>
        <v/>
      </c>
    </row>
    <row r="9">
      <c r="A9" s="15" t="n">
        <v>8</v>
      </c>
      <c r="B9" s="16" t="inlineStr">
        <is>
          <t>BL-30</t>
        </is>
      </c>
      <c r="C9" s="16" t="inlineStr">
        <is>
          <t>Простежуваність</t>
        </is>
      </c>
      <c r="D9" s="16" t="inlineStr">
        <is>
          <t>п. 1 (вимоги унікальні й не повторюються за змістом)</t>
        </is>
      </c>
      <c r="E9" s="16" t="inlineStr">
        <is>
          <t>«Якщо в кошику вже є товар із таким самим артикулом, система не додає окремий рядок, а збільшує кількість у наявному рядку на вказане значення.» — вимога повністю дублює бізнес-правило повторного додавання з BL-20.</t>
        </is>
      </c>
      <c r="F9" s="16" t="inlineStr">
        <is>
          <t>Вилучити вимогу BL-30 як надлишковий дублікат BL-20. Залишити ідентифікатор BL-30 як вільний («дірка» в нумерації без зсуву інших ID згідно з правилами трасування).</t>
        </is>
      </c>
      <c r="G9" s="15" t="inlineStr">
        <is>
          <t>Дрєпіна А. (ІТ)</t>
        </is>
      </c>
    </row>
    <row r="10">
      <c r="A10" s="15" t="n">
        <v>9</v>
      </c>
      <c r="B10" s="16" t="inlineStr">
        <is>
          <t>GUI-50</t>
        </is>
      </c>
      <c r="C10" s="16" t="inlineStr">
        <is>
          <t>Однозначність</t>
        </is>
      </c>
      <c r="D10" s="16" t="inlineStr">
        <is>
          <t>п. 1, 4 (допускає єдину інтерпретацію; частка «або» дає два різні очікувані результати)</t>
        </is>
      </c>
      <c r="E10" s="16" t="inlineStr">
        <is>
          <t>«Повідомлення про помилку валідації поля форми відображається біля відповідного поля або у верхній частині форми; форма, що містить помилки, не надсилається.» — неоднозначність у розташуванні: частка «або» допускає дві взаємовиключні поведінки інтерфейсу без визначення конкретного правила, коли і де саме показується повідомлення.</t>
        </is>
      </c>
      <c r="F10" s="16" t="inlineStr">
        <is>
          <t>«Повідомлення про помилку валідації поля форми відображається безпосередньо під відповідним полем введення червоним кольором із текстовою міткою; форма, що містить хоча б одне невалідне поле, блокує відправку (потребує підтвердження замовником).»</t>
        </is>
      </c>
      <c r="G10" s="15" t="inlineStr">
        <is>
          <t>Дрєпіна А. (ІТ)</t>
        </is>
      </c>
    </row>
    <row r="11">
      <c r="A11" s="15" t="n">
        <v>10</v>
      </c>
      <c r="B11" s="16" t="inlineStr">
        <is>
          <t>BL-60 ↔ F-110</t>
        </is>
      </c>
      <c r="C11" s="16" t="inlineStr">
        <is>
          <t>Несуперечливість</t>
        </is>
      </c>
      <c r="D11" s="16" t="inlineStr">
        <is>
          <t>п. 2 (вимоги не суперечать одна одній)</t>
        </is>
      </c>
      <c r="E11" s="16" t="inlineStr">
        <is>
          <t>«DiscountCalculator.shippingFee (subtotalAfterDiscount) повертає вартість доставки: 0.00 грн, якщо сума після знижки не менша за 1500 грн; інакше 120.00 грн.» — прямо суперечить вимозі F-110 («а для замовлень від 2000 грн доставка безкоштовна»).</t>
        </is>
      </c>
      <c r="F11" s="16" t="inlineStr">
        <is>
          <t>Нова редакція F-110: «Оформлення замовлення складається з чотирьох кроків: «Cart» → «Sign in» → «Billing Address» → «Payment». Неавторизований покупець на кроці 2 входить або реєструється; на кроці 3 підтверджує адресу доставки (вулиця, місто, область, країна, поштовий індекс); на кроці 4 обирає спосіб оплати (банківський переказ, оплата при отриманні, кредитна картка, «купити зараз заплатити пізніше», подарункова картка) і підтверджує замовлення. Підсумок замовлення містить суму товарів, знижку за обсяг, знижку за промокодом і вартість доставки: 120 грн; якщо сума замовлення після знижки за обсяг становить не менше 1500 грн, доставка безкоштовна (потребує підтвердження замовником). Після підтвердження система показує повідомлення з номером рахунку-інвойсу.»</t>
        </is>
      </c>
      <c r="G11" s="15" t="inlineStr">
        <is>
          <t>Дрєпіна А. (ІТ)</t>
        </is>
      </c>
    </row>
    <row r="12">
      <c r="A12" s="15" t="n">
        <v>11</v>
      </c>
      <c r="B12" s="16" t="inlineStr">
        <is>
          <t>BL-80</t>
        </is>
      </c>
      <c r="C12" s="16" t="inlineStr">
        <is>
          <t>Здійсненність</t>
        </is>
      </c>
      <c r="D12" s="16" t="inlineStr">
        <is>
          <t>п. 1 (виконання не залежить від систем, які продукт не контролює)</t>
        </is>
      </c>
      <c r="E12" s="16" t="inlineStr">
        <is>
          <t>«Перед застосуванням одноразового коду система перевіряє, що цей код не було використано у жодному іншому інтернет-магазині, зокрема сторонніх, і в такому разі відхиляє його.» — технічно й юридично нездійсненно (модуль не має доступу до сторонніх систем).</t>
        </is>
      </c>
      <c r="F12" s="16" t="inlineStr">
        <is>
          <t>«Перед застосуванням одноразового коду PromoCodeValidator перевіряє ознаку одноразовості та ознаку використання переданого запису PromoCode; якщо код уже позначено як використаний, метод відхиляє його та кидає IllegalArgumentException.»</t>
        </is>
      </c>
      <c r="G12" s="15" t="inlineStr">
        <is>
          <t>Дрєпіна А. (ІТ)</t>
        </is>
      </c>
    </row>
    <row r="13">
      <c r="A13" s="15" t="n">
        <v>12</v>
      </c>
      <c r="B13" s="16" t="inlineStr">
        <is>
          <t>P-10</t>
        </is>
      </c>
      <c r="C13" s="16" t="inlineStr">
        <is>
          <t>Здійсненність</t>
        </is>
      </c>
      <c r="D13" s="16" t="inlineStr">
        <is>
          <t>п. 1 (здійсненність з погляду фізичних обмежень передачі даних у мережі)</t>
        </is>
      </c>
      <c r="E13" s="16" t="inlineStr">
        <is>
          <t>«Сторінка каталогу повністю завантажується не довше ніж за 0,1 с за будь-якого з'єднання з Інтернетом і на будь-якому пристрої.» — фізично нездійсненно (0,1 с менше або на рівні мінімальної затримки RTT мобільних мереж лише на встановлення з'єднання).</t>
        </is>
      </c>
      <c r="F13" s="16" t="inlineStr">
        <is>
          <t>«Час повного завантаження сторінки каталогу на настільних пристроях не перевищує 2,0 с при швидкості широкосмугового інтернет-з'єднання від 15 Мбіт/с; показник First Contentful Paint (FCP) становить не більше 1,0 с (потребує підтвердження замовником).»</t>
        </is>
      </c>
      <c r="G13" s="15" t="inlineStr">
        <is>
          <t>Дрєпіна А. (ІТ)</t>
        </is>
      </c>
    </row>
    <row r="14">
      <c r="A14" s="15" t="n">
        <v>13</v>
      </c>
      <c r="B14" s="16" t="inlineStr">
        <is>
          <t>S-10</t>
        </is>
      </c>
      <c r="C14" s="16" t="inlineStr">
        <is>
          <t>Тестопридатність</t>
        </is>
      </c>
      <c r="D14" s="16" t="inlineStr">
        <is>
          <t>п. 1 (бракує способу спостереження, критерію Pass/Fail; неконкретне твердження)</t>
        </is>
      </c>
      <c r="E14" s="16" t="inlineStr">
        <is>
          <t>«Дані покупців надійно захищені, а система не містить вразливостей.» — розпливчасті нетестопридатні твердження («надійно захищені», «не містить вразливостей»).</t>
        </is>
      </c>
      <c r="F14" s="16" t="inlineStr">
        <is>
          <t>«Усі канали передачі персональних даних покупців захищені протоколом HTTPS (TLS 1.3); паролі зберігаються в базі даних виключно у хешованому вигляді (алгоритм bcrypt із сіллю); за результатами звіту сканування безпеки на локальному тестовому стенді розробників (на публічному demo сканування не проводиться) у релізі відсутні вразливості категорій Critical та High (потребує підтвердження замовником).»</t>
        </is>
      </c>
      <c r="G14" s="15" t="inlineStr">
        <is>
          <t>Дрєпіна А. (ІТ)</t>
        </is>
      </c>
    </row>
    <row r="15">
      <c r="A15" s="15" t="n">
        <v>14</v>
      </c>
      <c r="B15" s="16" t="inlineStr">
        <is>
          <t>U-10</t>
        </is>
      </c>
      <c r="C15" s="16" t="inlineStr">
        <is>
          <t>Тестопридатність</t>
        </is>
      </c>
      <c r="D15" s="16" t="inlineStr">
        <is>
          <t>п. 1 (бракує числа або вимірюваного значення; слова-маркери нетестопридатності)</t>
        </is>
      </c>
      <c r="E15" s="16" t="inlineStr">
        <is>
          <t>«Інтерфейс є інтуїтивно зрозумілим і зручним для всіх категорій користувачів.» — пряме використання заборонених суб'єктивних слів-маркерів «інтуїтивно зрозумілий» та «зручний».</t>
        </is>
      </c>
      <c r="F15" s="16" t="inlineStr">
        <is>
          <t>«Новий користувач без попереднього інструктажу успішно проходить наскрізний чекаут не довше ніж за 3 хвилини; показник Task Success Rate становить не менше 90% при вибірці з 10 респондентів (потребує підтвердження замовником).»</t>
        </is>
      </c>
      <c r="G15" s="15" t="inlineStr">
        <is>
          <t>Дрєпіна А. (ІТ)</t>
        </is>
      </c>
    </row>
    <row r="16">
      <c r="A16" s="15" t="n">
        <v>15</v>
      </c>
      <c r="B16" s="16" t="inlineStr">
        <is>
          <t>Розділ 6, між U-20 та D-10</t>
        </is>
      </c>
      <c r="C16" s="16" t="inlineStr">
        <is>
          <t>Простежуваність</t>
        </is>
      </c>
      <c r="D16" s="16" t="inlineStr">
        <is>
          <t>п. 2 (усі вимоги мають унікальний ідентифікатор; вимога не має ID)</t>
        </is>
      </c>
      <c r="E16" s="16" t="inlineStr">
        <is>
          <t>«Інтерфейс коректно відображається за ширини вікна 375 пікселів: без горизонтального прокручування, з доступним меню навігації та кнопками, придатними для натискання пальцем (не менше 44×44 пікселі).» — вимога не має ідентифікатора в колонці ID.</t>
        </is>
      </c>
      <c r="F16" s="16" t="inlineStr">
        <is>
          <t>Присвоїти вимозі унікальний ідентифікатор «U-30» (крок 10 після U-20 у групі Usability): «U-30 Інтерфейс коректно відображається за ширини вікна 375 пікселів: без горизонтального прокручування, з доступним меню навігації та кнопками, придатними для натискання пальцем (не менше 44×44 пікселі).»</t>
        </is>
      </c>
      <c r="G16" s="15" t="inlineStr">
        <is>
          <t>Дрєпіна А. (ІТ)</t>
        </is>
      </c>
    </row>
    <row r="17">
      <c r="A17" s="15" t="n">
        <v>16</v>
      </c>
      <c r="B17" s="16" t="inlineStr">
        <is>
          <t>D-10</t>
        </is>
      </c>
      <c r="C17" s="16" t="inlineStr">
        <is>
          <t>Повнота</t>
        </is>
      </c>
      <c r="D17" s="16" t="inlineStr">
        <is>
          <t>п. 3 (немає посилань на неіснуючі документи або регламенти)</t>
        </is>
      </c>
      <c r="E17" s="16" t="inlineStr">
        <is>
          <t>«розділ про програму лояльності укладено згідно з "Регламентом програми лояльності ШопЛайн-ЛП-2025", розділ 4.» — посилання на неіснуючий зовнішній документ (у розділі 1.4 він відсутній).</t>
        </is>
      </c>
      <c r="F17" s="16" t="inlineStr">
        <is>
          <t>«Посібник користувача покриває реєстрацію, пошук, оформлення замовлення і роботу з кабінетом; розділ про програму лояльності укладено згідно з вимогами розділу 5 цієї специфікації.»</t>
        </is>
      </c>
      <c r="G17" s="15" t="inlineStr">
        <is>
          <t>Дрєпіна А. (ІТ)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0" customWidth="1" min="4" max="4"/>
    <col width="60" customWidth="1" min="5" max="5"/>
    <col width="55" customWidth="1" min="6" max="6"/>
    <col width="16" customWidth="1" min="7" max="7"/>
    <col width="34" customWidth="1" min="8" max="8"/>
    <col width="3" customWidth="1" min="9" max="9"/>
    <col width="18" customWidth="1" min="10" max="10"/>
    <col width="8" customWidth="1" min="11" max="11"/>
  </cols>
  <sheetData>
    <row r="1">
      <c r="A1" s="1" t="inlineStr">
        <is>
          <t>№</t>
        </is>
      </c>
      <c r="B1" s="1" t="inlineStr">
        <is>
          <t>ID/локатор</t>
        </is>
      </c>
      <c r="C1" s="1" t="inlineStr">
        <is>
          <t>Критерій</t>
        </is>
      </c>
      <c r="D1" s="1" t="inlineStr">
        <is>
          <t>Пункт чек-листа</t>
        </is>
      </c>
      <c r="E1" s="1" t="inlineStr">
        <is>
          <t>Цитата</t>
        </is>
      </c>
      <c r="F1" s="1" t="inlineStr">
        <is>
          <t>Виправлення</t>
        </is>
      </c>
      <c r="G1" s="1" t="inlineStr">
        <is>
          <t>Хто знайшов</t>
        </is>
      </c>
      <c r="H1" s="1" t="inlineStr">
        <is>
          <t>Примітка</t>
        </is>
      </c>
      <c r="J1" s="11" t="inlineStr">
        <is>
          <t>Критерій</t>
        </is>
      </c>
      <c r="K1" s="11" t="inlineStr">
        <is>
          <t>Рядків</t>
        </is>
      </c>
    </row>
    <row r="2">
      <c r="A2" s="12" t="n">
        <v>1</v>
      </c>
      <c r="B2" s="12" t="inlineStr">
        <is>
          <t>F-10</t>
        </is>
      </c>
      <c r="C2" s="12" t="inlineStr">
        <is>
          <t>Повнота</t>
        </is>
      </c>
      <c r="D2" s="12" t="inlineStr">
        <is>
          <t>п. 1 — вимога містить повну інформацію</t>
        </is>
      </c>
      <c r="E2" s="12" t="inlineStr">
        <is>
          <t>«обов'язковість полів позначено у формі зірочкою» — вимога не називає, які саме поля обов'язкові; тест-кейс для незаповненого поля неможливо скласти.</t>
        </is>
      </c>
      <c r="F2" s="12" t="inlineStr">
        <is>
          <t>«… Обов'язкові поля: ім'я, прізвище, дата народження, країна, поштовий індекс, номер будинку, вулиця, місто, телефон, адреса електронної пошти, пароль; поле «область (штат)» необов'язкове; обов'язкові поля позначено у формі зірочкою.»</t>
        </is>
      </c>
      <c r="G2" s="12" t="inlineStr">
        <is>
          <t>Тимчак А. (ТА)</t>
        </is>
      </c>
      <c r="H2" s="12" t="inlineStr">
        <is>
          <t>Потребує підтвердження замовником.</t>
        </is>
      </c>
      <c r="J2" t="inlineStr">
        <is>
          <t>Однозначність</t>
        </is>
      </c>
      <c r="K2">
        <f>COUNTIF($C$2:$C$25,J2)</f>
        <v/>
      </c>
    </row>
    <row r="3">
      <c r="A3" s="12" t="n">
        <v>2</v>
      </c>
      <c r="B3" s="12" t="inlineStr">
        <is>
          <t>F-10</t>
        </is>
      </c>
      <c r="C3" s="12" t="inlineStr">
        <is>
          <t>Повнота</t>
        </is>
      </c>
      <c r="D3" s="12" t="inlineStr">
        <is>
          <t>п. 5 — описано реакції на помилки та виняткові ситуації</t>
        </is>
      </c>
      <c r="E3" s="12" t="inlineStr">
        <is>
          <t>«Після успішної реєстрації система створює обліковий запис покупця і переходить на сторінку входу» — не описано реакцію на вже зареєстровану адресу електронної пошти.</t>
        </is>
      </c>
      <c r="F3" s="12" t="inlineStr">
        <is>
          <t>Додати до F-10: «Якщо адреса електронної пошти вже зареєстрована, обліковий запис не створюється, і система показує повідомлення «A customer with this email address already exists.»»</t>
        </is>
      </c>
      <c r="G3" s="12" t="inlineStr">
        <is>
          <t>Тимчак А. (ТА)</t>
        </is>
      </c>
      <c r="H3" s="12" t="inlineStr">
        <is>
          <t>Текст повідомлення — Потребує підтвердження замовником.</t>
        </is>
      </c>
      <c r="J3" t="inlineStr">
        <is>
          <t>Повнота</t>
        </is>
      </c>
      <c r="K3">
        <f>COUNTIF($C$2:$C$25,J3)</f>
        <v/>
      </c>
    </row>
    <row r="4">
      <c r="A4" s="12" t="n">
        <v>3</v>
      </c>
      <c r="B4" s="12" t="inlineStr">
        <is>
          <t>F-20</t>
        </is>
      </c>
      <c r="C4" s="12" t="inlineStr">
        <is>
          <t>Однозначність</t>
        </is>
      </c>
      <c r="D4" s="12" t="inlineStr">
        <is>
          <t>п. 4 — вимога точна і допускає єдину інтерпретацію</t>
        </is>
      </c>
      <c r="E4" s="12" t="inlineStr">
        <is>
          <t>«Після успішного входу система перенаправляє користувача на відповідну сторінку» — «відповідну» не визначено, очікуваний результат тесту неоднозначний.</t>
        </is>
      </c>
      <c r="F4" s="12" t="inlineStr">
        <is>
          <t>«Після успішного входу система перенаправляє покупця на сторінку особистого кабінету (F-130).»</t>
        </is>
      </c>
      <c r="G4" s="12" t="inlineStr">
        <is>
          <t>Тимчак А. (ТА)</t>
        </is>
      </c>
      <c r="H4" s="12" t="n"/>
      <c r="J4" t="inlineStr">
        <is>
          <t>Несуперечливість</t>
        </is>
      </c>
      <c r="K4">
        <f>COUNTIF($C$2:$C$25,J4)</f>
        <v/>
      </c>
    </row>
    <row r="5">
      <c r="A5" s="12" t="n">
        <v>4</v>
      </c>
      <c r="B5" s="12" t="inlineStr">
        <is>
          <t>F-30</t>
        </is>
      </c>
      <c r="C5" s="12" t="inlineStr">
        <is>
          <t>Здійсненність</t>
        </is>
      </c>
      <c r="D5" s="12" t="inlineStr">
        <is>
          <t>вимоги здійсненні з погляду наявних ресурсів; виконання не залежить від систем, які продукт не контролює</t>
        </is>
      </c>
      <c r="E5" s="12" t="inlineStr">
        <is>
          <t>«гарантує його доставку до поштової скриньки користувача не довше ніж за 1 секунду незалежно від поштового провайдера одержувача» — доставка залежить від сторонніх поштових серверів, які продукт не контролює.</t>
        </is>
      </c>
      <c r="F5" s="12" t="inlineStr">
        <is>
          <t>«Після надсилання форми система формує лист із посиланням для встановлення нового пароля і передає його поштовому серверу ШопЛайн не пізніше ніж за 5 с; час доставки до скриньки одержувача залежить від його поштового провайдера і не гарантується.»</t>
        </is>
      </c>
      <c r="G5" s="12" t="inlineStr">
        <is>
          <t>Тимчак А. (ТА)</t>
        </is>
      </c>
      <c r="H5" s="12" t="inlineStr">
        <is>
          <t>Значення 5 с — Потребує підтвердження замовником.</t>
        </is>
      </c>
      <c r="J5" t="inlineStr">
        <is>
          <t>Простежуваність</t>
        </is>
      </c>
      <c r="K5">
        <f>COUNTIF($C$2:$C$25,J5)</f>
        <v/>
      </c>
    </row>
    <row r="6">
      <c r="A6" s="12" t="n">
        <v>5</v>
      </c>
      <c r="B6" s="12" t="inlineStr">
        <is>
          <t>F-40 ↔ GUI-20</t>
        </is>
      </c>
      <c r="C6" s="12" t="inlineStr">
        <is>
          <t>Несуперечливість</t>
        </is>
      </c>
      <c r="D6" s="12" t="inlineStr">
        <is>
          <t>п. 2 — вимоги не суперечать одна одній</t>
        </is>
      </c>
      <c r="E6" s="12" t="inlineStr">
        <is>
          <t>F-40: «по 9 карток на сторінці»; GUI-20: «у три колонки по 12 карток на сторінці» — різна кількість карток на сторінці.</t>
        </is>
      </c>
      <c r="F6" s="12" t="inlineStr">
        <is>
          <t>GUI-20: «Картки каталогу розміщуються сіткою у три колонки, по 9 карток на сторінці (відповідно до F-40); …»</t>
        </is>
      </c>
      <c r="G6" s="12" t="inlineStr">
        <is>
          <t>Тимчак А. (ТА)</t>
        </is>
      </c>
      <c r="H6" s="12" t="inlineStr">
        <is>
          <t>крос (GUI-20 — розд. 4). Кількість 9 — Потребує підтвердження замовником.</t>
        </is>
      </c>
      <c r="J6" t="inlineStr">
        <is>
          <t>Здійсненність</t>
        </is>
      </c>
      <c r="K6">
        <f>COUNTIF($C$2:$C$25,J6)</f>
        <v/>
      </c>
    </row>
    <row r="7">
      <c r="A7" s="12" t="n">
        <v>6</v>
      </c>
      <c r="B7" s="12" t="inlineStr">
        <is>
          <t>F-50</t>
        </is>
      </c>
      <c r="C7" s="12" t="inlineStr">
        <is>
          <t>Однозначність</t>
        </is>
      </c>
      <c r="D7" s="12" t="inlineStr">
        <is>
          <t>п. 4 — вимога точна і допускає єдину інтерпретацію</t>
        </is>
      </c>
      <c r="E7" s="12" t="inlineStr">
        <is>
          <t>«Кілька фільтрів поєднуються за правилом «І»» — незрозуміло, чи «І» діє між прапорцями одного виду (дві категорії одночасно дадуть порожній список) чи лише між різними видами фільтрів.</t>
        </is>
      </c>
      <c r="F7" s="12" t="inlineStr">
        <is>
          <t>«Фільтри різних видів (категорія, бренд, діапазон ціни, «Eco-Friendly Products») поєднуються за правилом «І»; кілька позначених прапорців одного виду поєднуються за правилом «АБО».»</t>
        </is>
      </c>
      <c r="G7" s="12" t="inlineStr">
        <is>
          <t>Тимчак А. (ТА)</t>
        </is>
      </c>
      <c r="H7" s="12" t="inlineStr">
        <is>
          <t>Потребує підтвердження замовником.</t>
        </is>
      </c>
      <c r="J7" t="inlineStr">
        <is>
          <t>Тестопридатність</t>
        </is>
      </c>
      <c r="K7">
        <f>COUNTIF($C$2:$C$25,J7)</f>
        <v/>
      </c>
    </row>
    <row r="8">
      <c r="A8" s="12" t="n">
        <v>7</v>
      </c>
      <c r="B8" s="12" t="inlineStr">
        <is>
          <t>F-50</t>
        </is>
      </c>
      <c r="C8" s="12" t="inlineStr">
        <is>
          <t>Тестопридатність</t>
        </is>
      </c>
      <c r="D8" s="12" t="inlineStr">
        <is>
          <t>практичний тест: тест-кейс з однозначним результатом «пройдено / не пройдено»</t>
        </is>
      </c>
      <c r="E8" s="12" t="inlineStr">
        <is>
          <t>«система показує текстове повідомлення про відсутність товарів» — текст не задано, тож тест не може однозначно перевірити результат.</t>
        </is>
      </c>
      <c r="F8" s="12" t="inlineStr">
        <is>
          <t>«… список карток порожній, а система показує повідомлення «There are no products found.»»</t>
        </is>
      </c>
      <c r="G8" s="12" t="inlineStr">
        <is>
          <t>Тимчак А. (ТА)</t>
        </is>
      </c>
      <c r="H8" s="12" t="inlineStr">
        <is>
          <t>Текст повідомлення — Потребує підтвердження замовником.</t>
        </is>
      </c>
    </row>
    <row r="9">
      <c r="A9" s="12" t="n">
        <v>8</v>
      </c>
      <c r="B9" s="12" t="inlineStr">
        <is>
          <t>F-60</t>
        </is>
      </c>
      <c r="C9" s="12" t="inlineStr">
        <is>
          <t>Однозначність</t>
        </is>
      </c>
      <c r="D9" s="12" t="inlineStr">
        <is>
          <t>п. 4 — вимога точна і допускає єдину інтерпретацію</t>
        </is>
      </c>
      <c r="E9" s="12" t="inlineStr">
        <is>
          <t>«знайти товари, назви яких схожі на введений запит» — «схожі» допускає різні тлумачення (підрядок, початок слова, нечіткий пошук).</t>
        </is>
      </c>
      <c r="F9" s="12" t="inlineStr">
        <is>
          <t>«Поле пошуку на головній сторінці знаходить товари, назви яких містять введений запит як підрядок без урахування регістру.»</t>
        </is>
      </c>
      <c r="G9" s="12" t="inlineStr">
        <is>
          <t>Тимчак А. (ТА)</t>
        </is>
      </c>
      <c r="H9" s="12" t="n"/>
    </row>
    <row r="10">
      <c r="A10" s="12" t="n">
        <v>9</v>
      </c>
      <c r="B10" s="12" t="inlineStr">
        <is>
          <t>F-90</t>
        </is>
      </c>
      <c r="C10" s="12" t="inlineStr">
        <is>
          <t>Тестопридатність</t>
        </is>
      </c>
      <c r="D10" s="12" t="inlineStr">
        <is>
          <t>практичний тест: тест-кейс з однозначним результатом «пройдено / не пройдено»</t>
        </is>
      </c>
      <c r="E10" s="12" t="inlineStr">
        <is>
          <t>«додає товар у кошик у вказаній кількості миттєво і без помилок» — слова-маркери «миттєво», «без помилок»; немає числа й способу спостереження.</t>
        </is>
      </c>
      <c r="F10" s="12" t="inlineStr">
        <is>
          <t>«Натискання «Add to cart» додає товар у кошик у кількості з поля «Quantity»; не пізніше ніж за 2 с після натискання виводиться повідомлення «Product added to shopping cart.»; повторне додавання того самого товару збільшує кількість у наявному рядку (BL-20).»</t>
        </is>
      </c>
      <c r="G10" s="12" t="inlineStr">
        <is>
          <t>Тимчак А. (ТА)</t>
        </is>
      </c>
      <c r="H10" s="12" t="inlineStr">
        <is>
          <t>Значення 2 с і текст повідомлення — Потребує підтвердження замовником.</t>
        </is>
      </c>
    </row>
    <row r="11">
      <c r="A11" s="12" t="n">
        <v>10</v>
      </c>
      <c r="B11" s="12" t="inlineStr">
        <is>
          <t>F-100</t>
        </is>
      </c>
      <c r="C11" s="12" t="inlineStr">
        <is>
          <t>Повнота</t>
        </is>
      </c>
      <c r="D11" s="12" t="inlineStr">
        <is>
          <t>п. 3 — немає посилань на неіснуючі документи</t>
        </is>
      </c>
      <c r="E11" s="12" t="inlineStr">
        <is>
          <t>«Обмеження на кількість одиниць у рядку визначає вимога BL-25» — вимоги BL-25 у SRS немає.</t>
        </is>
      </c>
      <c r="F11" s="12" t="inlineStr">
        <is>
          <t>«Обмеження на кількість одиниць у рядку (від 1 до 99) визначають вимоги BL-10, BL-20 і BL-40.»</t>
        </is>
      </c>
      <c r="G11" s="12" t="inlineStr">
        <is>
          <t>Тимчак А. (ТА)</t>
        </is>
      </c>
      <c r="H11" s="12" t="n"/>
    </row>
    <row r="12">
      <c r="A12" s="12" t="n">
        <v>11</v>
      </c>
      <c r="B12" s="12" t="inlineStr">
        <is>
          <t>F-110 ↔ BL-60</t>
        </is>
      </c>
      <c r="C12" s="12" t="inlineStr">
        <is>
          <t>Несуперечливість</t>
        </is>
      </c>
      <c r="D12" s="12" t="inlineStr">
        <is>
          <t>п. 2 — вимоги не суперечать одна одній</t>
        </is>
      </c>
      <c r="E12" s="12" t="inlineStr">
        <is>
          <t>F-110: «вартість доставки: 120 грн, а для замовлень від 2000 грн доставка безкоштовна»; BL-60: «0.00 грн, якщо сума після знижки не менша за 1500 грн; інакше 120.00 грн» — різні пороги безкоштовної доставки.</t>
        </is>
      </c>
      <c r="F12" s="12" t="inlineStr">
        <is>
          <t>F-110: «… вартість доставки визначається за BL-60: 0.00 грн, якщо сума після знижок не менша за 1500 грн, інакше 120.00 грн.»</t>
        </is>
      </c>
      <c r="G12" s="12" t="inlineStr">
        <is>
          <t>Тимчак А. (ТА)</t>
        </is>
      </c>
      <c r="H12" s="12" t="inlineStr">
        <is>
          <t>Поріг 1500 грн — Потребує підтвердження замовником.</t>
        </is>
      </c>
    </row>
    <row r="13">
      <c r="A13" s="12" t="n">
        <v>12</v>
      </c>
      <c r="B13" s="12" t="inlineStr">
        <is>
          <t>F-110 ↔ розд. 2.3, пункт 3</t>
        </is>
      </c>
      <c r="C13" s="12" t="inlineStr">
        <is>
          <t>Несуперечливість</t>
        </is>
      </c>
      <c r="D13" s="12" t="inlineStr">
        <is>
          <t>п. 2 — вимоги не суперечать одна одній</t>
        </is>
      </c>
      <c r="E13" s="12" t="inlineStr">
        <is>
          <t>F-110: «Підсумок замовлення містить суму товарів, знижку за обсяг, знижку за промокодом і вартість доставки»; 2.3: «Модуль програми лояльності … в поточній версії ще не інтегрований в інтерфейс» — інтерфейс не може показувати знижки модуля, який у нього не інтегровано.</t>
        </is>
      </c>
      <c r="F13" s="12" t="inlineStr">
        <is>
          <t>F-110: «Підсумок замовлення містить суму товарів і вартість доставки; знижка за обсяг і знижка за промокодом у версії 1.0 в інтерфейсі не відображаються (розд. 2.3).»</t>
        </is>
      </c>
      <c r="G13" s="12" t="inlineStr">
        <is>
          <t>Тимчак А. (ТА)</t>
        </is>
      </c>
      <c r="H13" s="12" t="inlineStr">
        <is>
          <t>крос (розд. 2.3). Альтернатива — інтегрувати модуль і змінити 2.3; Потребує підтвердження замовником.</t>
        </is>
      </c>
    </row>
    <row r="14">
      <c r="A14" s="12" t="n">
        <v>13</v>
      </c>
      <c r="B14" s="12" t="inlineStr">
        <is>
          <t>F-120 ↔ GUI-40</t>
        </is>
      </c>
      <c r="C14" s="12" t="inlineStr">
        <is>
          <t>Несуперечливість</t>
        </is>
      </c>
      <c r="D14" s="12" t="inlineStr">
        <is>
          <t>п. 2 — вимоги не суперечать одна одній</t>
        </is>
      </c>
      <c r="E14" s="12" t="inlineStr">
        <is>
          <t>F-120: «Покупець може додати товар до списку обраного кнопкою «Add to favourites» без входу в систему»; GUI-40: «якщо покупець не увійшов у систему … товар до обраного не додається»; розд. 2.1 відносить «обране» до функцій зареєстрованого покупця.</t>
        </is>
      </c>
      <c r="F14" s="12" t="inlineStr">
        <is>
          <t>F-120: «Зареєстрований покупець, який увійшов у систему, може додати товар до списку обраного кнопкою «Add to favourites»; для неавторизованого покупця товар не додається (GUI-40). Список обраного доступний у кабінеті («My favorites»), де позицію можна видалити.»</t>
        </is>
      </c>
      <c r="G14" s="12" t="inlineStr">
        <is>
          <t>Тимчак А. (ТА)</t>
        </is>
      </c>
      <c r="H14" s="12" t="inlineStr">
        <is>
          <t>крос (GUI-40)</t>
        </is>
      </c>
    </row>
    <row r="15">
      <c r="A15" s="12" t="n">
        <v>14</v>
      </c>
      <c r="B15" s="12" t="inlineStr">
        <is>
          <t>F-140</t>
        </is>
      </c>
      <c r="C15" s="12" t="inlineStr">
        <is>
          <t>Повнота</t>
        </is>
      </c>
      <c r="D15" s="12" t="inlineStr">
        <is>
          <t>п. 4 — обумовлено всі допустимі й недопустимі вхідні дані</t>
        </is>
      </c>
      <c r="E15" s="12" t="inlineStr">
        <is>
          <t>«довжина повідомлення — не менше 50 символів. До звернення можна додати файл-вкладення» — не задано максимальну довжину повідомлення, допустимий формат і розмір вкладення та реакцію на недопустимий файл.</t>
        </is>
      </c>
      <c r="F15" s="12" t="inlineStr">
        <is>
          <t>«… довжина повідомлення — від 50 до 250 символів. До звернення можна додати один файл формату .txt розміром до 500 КБ; для недопустимого файла звернення не надсилається, а біля поля виводиться повідомлення про помилку (GUI-50).»</t>
        </is>
      </c>
      <c r="G15" s="12" t="inlineStr">
        <is>
          <t>Тимчак А. (ТА)</t>
        </is>
      </c>
      <c r="H15" s="12" t="inlineStr">
        <is>
          <t>Межі довжини, формат і розмір файла — Потребує підтвердження замовником.</t>
        </is>
      </c>
    </row>
    <row r="16">
      <c r="A16" s="12" t="n">
        <v>15</v>
      </c>
      <c r="B16" s="12" t="inlineStr">
        <is>
          <t>BL-10</t>
        </is>
      </c>
      <c r="C16" s="12" t="inlineStr">
        <is>
          <t>Повнота</t>
        </is>
      </c>
      <c r="D16" s="12" t="inlineStr">
        <is>
          <t>п. 4 — обумовлено всі допустимі й недопустимі вхідні дані</t>
        </is>
      </c>
      <c r="E16" s="12" t="inlineStr">
        <is>
          <t>«Допустимі значення: qty — …; unitPrice — …; sku — непорожній рядок» — для параметра name допустимі значення не задано (null, порожній рядок).</t>
        </is>
      </c>
      <c r="F16" s="12" t="inlineStr">
        <is>
          <t>«Допустимі значення: qty — ціле число від 1 до 99 включно; unitPrice — сума в гривнях, строго більша за 0; sku і name — непорожні рядки. …»</t>
        </is>
      </c>
      <c r="G16" s="12" t="inlineStr">
        <is>
          <t>Тимчак А. (ТА)</t>
        </is>
      </c>
      <c r="H16" s="12" t="n"/>
    </row>
    <row r="17">
      <c r="A17" s="12" t="n">
        <v>16</v>
      </c>
      <c r="B17" s="12" t="inlineStr">
        <is>
          <t>BL-30</t>
        </is>
      </c>
      <c r="C17" s="12" t="inlineStr">
        <is>
          <t>Простежуваність</t>
        </is>
      </c>
      <c r="D17" s="12" t="inlineStr">
        <is>
          <t>п. 1 — вимоги унікальні й не повторюються</t>
        </is>
      </c>
      <c r="E17" s="12" t="inlineStr">
        <is>
          <t>BL-30: «Якщо в кошику вже є товар із таким самим артикулом, система не додає окремий рядок, а збільшує кількість у наявному рядку» повторює BL-20: «Повторне додавання позиції з тим самим sku не створює новий рядок, а збільшує кількість наявного рядка».</t>
        </is>
      </c>
      <c r="F17" s="12" t="inlineStr">
        <is>
          <t>Вилучити BL-30 (ID залишається «діркою»); посилання на BL-30 замінити на BL-20.</t>
        </is>
      </c>
      <c r="G17" s="12" t="inlineStr">
        <is>
          <t>Тимчак А. (ТА)</t>
        </is>
      </c>
      <c r="H17" s="12" t="n"/>
    </row>
    <row r="18">
      <c r="A18" s="12" t="n">
        <v>17</v>
      </c>
      <c r="B18" s="12" t="inlineStr">
        <is>
          <t>BL-40</t>
        </is>
      </c>
      <c r="C18" s="12" t="inlineStr">
        <is>
          <t>Простежуваність</t>
        </is>
      </c>
      <c r="D18" s="12" t="inlineStr">
        <is>
          <t>п. 4 — формат ID дозволяє розділяти вимогу без впливу на решту ID</t>
        </is>
      </c>
      <c r="E18" s="12" t="inlineStr">
        <is>
          <t>BL-40 під одним ID описує чотири методи: «Cart.removeItem(sku) …; Cart.changeQty(sku, qty) …; Cart.subtotal() …; Cart.itemCount() …» — окремий юніт-тест не можна простежити до окремої вимоги.</t>
        </is>
      </c>
      <c r="F18" s="12" t="inlineStr">
        <is>
          <t>BL-40: «Cart.removeItem(sku) видаляє рядок; для відсутнього sku кидає NoSuchElementException.» BL-42: «Cart.changeQty(sku, qty) встановлює нову кількість від 1 до 99 включно (інакше IllegalArgumentException); для відсутнього sku кидає NoSuchElementException.» BL-44: «Cart.subtotal() повертає суму добутків «ціна × кількість» за всіма рядками, округлену до копійок (HALF_UP); для порожнього кошика — 0.00.» BL-46: «Cart.itemCount() повертає суму кількостей усіх рядків; для порожнього кошика — 0.»</t>
        </is>
      </c>
      <c r="G18" s="12" t="inlineStr">
        <is>
          <t>Тимчак А. (ТА)</t>
        </is>
      </c>
      <c r="H18" s="12" t="n"/>
    </row>
    <row r="19">
      <c r="A19" s="12" t="n">
        <v>18</v>
      </c>
      <c r="B19" s="12" t="inlineStr">
        <is>
          <t>BL-50</t>
        </is>
      </c>
      <c r="C19" s="12" t="inlineStr">
        <is>
          <t>Однозначність</t>
        </is>
      </c>
      <c r="D19" s="12" t="inlineStr">
        <is>
          <t>п. 4 — вимога точна і допускає єдину інтерпретацію</t>
        </is>
      </c>
      <c r="E19" s="12" t="inlineStr">
        <is>
          <t>«при сумі від 2000 грн — 5 %, від 5000 грн — 10 %, від 10000 грн — 15 %» — діапазони перекриваються (сума 6000 грн одночасно «від 2000» і «від 5000»), межі не позначено як включні чи виключні.</t>
        </is>
      </c>
      <c r="F19" s="12" t="inlineStr">
        <is>
          <t>«… обчислює знижку за обсяг: subtotal &lt; 2000 — 0 %; 2000 ≤ subtotal &lt; 5000 — 5 %; 5000 ≤ subtotal &lt; 10000 — 10 %; subtotal ≥ 10000 — 15 %; …»</t>
        </is>
      </c>
      <c r="G19" s="12" t="inlineStr">
        <is>
          <t>Тимчак А. (ТА)</t>
        </is>
      </c>
      <c r="H19" s="12" t="n"/>
    </row>
    <row r="20">
      <c r="A20" s="12" t="n">
        <v>19</v>
      </c>
      <c r="B20" s="12" t="inlineStr">
        <is>
          <t>BL-60</t>
        </is>
      </c>
      <c r="C20" s="12" t="inlineStr">
        <is>
          <t>Однозначність</t>
        </is>
      </c>
      <c r="D20" s="12" t="inlineStr">
        <is>
          <t>п. 4 — вимога точна і допускає єдину інтерпретацію</t>
        </is>
      </c>
      <c r="E20" s="12" t="inlineStr">
        <is>
          <t>«shippingFee(subtotalAfterDiscount) … якщо сума після знижки не менша за 1500 грн» — не визначено, яку знижку віднімають: лише за обсягом (BL-50) чи також за промокодом (BL-80).</t>
        </is>
      </c>
      <c r="F20" s="12" t="inlineStr">
        <is>
          <t>«… де subtotalAfterDiscount = subtotal − знижка за обсяг (BL-50) − знижка за промокодом (BL-80); повертає 0.00 грн, якщо subtotalAfterDiscount не менша за 1500 грн, інакше 120.00 грн. …»</t>
        </is>
      </c>
      <c r="G20" s="12" t="inlineStr">
        <is>
          <t>Тимчак А. (ТА)</t>
        </is>
      </c>
      <c r="H20" s="12" t="inlineStr">
        <is>
          <t>Потребує підтвердження замовником.</t>
        </is>
      </c>
    </row>
    <row r="21">
      <c r="A21" s="12" t="n">
        <v>20</v>
      </c>
      <c r="B21" s="12" t="inlineStr">
        <is>
          <t>BL-70</t>
        </is>
      </c>
      <c r="C21" s="12" t="inlineStr">
        <is>
          <t>Тестопридатність</t>
        </is>
      </c>
      <c r="D21" s="12" t="inlineStr">
        <is>
          <t>практичний тест: тест-кейс з однозначним результатом «пройдено / не пройдено»</t>
        </is>
      </c>
      <c r="E21" s="12" t="inlineStr">
        <is>
          <t>«Результат містить ознаку придатності та причину відмови» — можливі причини відмови не перелічено, тож тест не може перевірити, що повернуто правильну причину.</t>
        </is>
      </c>
      <c r="F21" s="12" t="inlineStr">
        <is>
          <t>«… Причина відмови — одне зі значень: NOT_FOUND (код не існує), INVALID_FORMAT (довжина поза межами 6–10 символів), EXPIRED (дата закінчення раніша за today), ALREADY_USED (одноразовий код уже використано), INVALID_VALUE (значення поза допустимими межами); для придатного коду причина порожня.»</t>
        </is>
      </c>
      <c r="G21" s="12" t="inlineStr">
        <is>
          <t>Тимчак А. (ТА)</t>
        </is>
      </c>
      <c r="H21" s="12" t="n"/>
    </row>
    <row r="22">
      <c r="A22" s="12" t="n">
        <v>21</v>
      </c>
      <c r="B22" s="12" t="inlineStr">
        <is>
          <t>BL-80</t>
        </is>
      </c>
      <c r="C22" s="12" t="inlineStr">
        <is>
          <t>Здійсненність</t>
        </is>
      </c>
      <c r="D22" s="12" t="inlineStr">
        <is>
          <t>вимоги здійсненні з погляду наявних ресурсів; виконання не залежить від систем, які продукт не контролює</t>
        </is>
      </c>
      <c r="E22" s="12" t="inlineStr">
        <is>
          <t>«система перевіряє, що цей код не було використано у жодному іншому інтернет-магазині, зокрема сторонніх» — модуль не має доступу до даних сторонніх магазинів; до того ж за 2.3 бібліотека «без зовнішніх залежностей».</t>
        </is>
      </c>
      <c r="F22" s="12" t="inlineStr">
        <is>
          <t>«Перед застосуванням одноразового коду метод перевіряє, що код не позначений як використаний у ШопЛайн; використаний код відхиляється (IllegalArgumentException із причиною відмови за BL-70).»</t>
        </is>
      </c>
      <c r="G22" s="12" t="inlineStr">
        <is>
          <t>Тимчак А. (ТА)</t>
        </is>
      </c>
      <c r="H22" s="12" t="n"/>
    </row>
    <row r="23">
      <c r="A23" s="12" t="n">
        <v>22</v>
      </c>
      <c r="B23" s="12" t="inlineStr">
        <is>
          <t>BL-70, BL-80 (немає вимоги)</t>
        </is>
      </c>
      <c r="C23" s="12" t="inlineStr">
        <is>
          <t>Повнота</t>
        </is>
      </c>
      <c r="D23" s="12" t="inlineStr">
        <is>
          <t>п. 2 — усі необхідні вимоги присутні</t>
        </is>
      </c>
      <c r="E23" s="12" t="inlineStr">
        <is>
          <t>BL-70: фіксована сума «не перевищує subtotal», BL-50: знижка за обсяг — до 15 % від subtotal; правила сумісного застосування знижок немає, тож сума до оплати може бути від'ємною (subtotal 2000, знижка за обсяг 100, промокод 2000 → −100).</t>
        </is>
      </c>
      <c r="F23" s="12" t="inlineStr">
        <is>
          <t>Нова вимога BL-90: «Сума до оплати = subtotal − знижка за обсяг (BL-50) − знижка за промокодом (BL-80); якщо результат менший за 0.00, він дорівнює 0.00; до суми до оплати додається вартість доставки (BL-60).»</t>
        </is>
      </c>
      <c r="G23" s="12" t="inlineStr">
        <is>
          <t>Тимчак А. (ТА)</t>
        </is>
      </c>
      <c r="H23" s="12" t="n"/>
    </row>
    <row r="24">
      <c r="A24" s="12" t="n">
        <v>23</v>
      </c>
      <c r="B24" s="12" t="inlineStr">
        <is>
          <t>GUI-30 ↔ BL-10</t>
        </is>
      </c>
      <c r="C24" s="12" t="inlineStr">
        <is>
          <t>Несуперечливість</t>
        </is>
      </c>
      <c r="D24" s="12" t="inlineStr">
        <is>
          <t>п. 2 — вимоги не суперечать одна одній</t>
        </is>
      </c>
      <c r="E24" s="12" t="inlineStr">
        <is>
          <t>GUI-30: «приймає значення від 0 до 100»; BL-10: «qty — ціле число від 1 до 99 включно».</t>
        </is>
      </c>
      <c r="F24" s="12" t="inlineStr">
        <is>
          <t>GUI-30: «… приймає цілі значення від 1 до 99 включно; значення за замовчуванням — 1.»</t>
        </is>
      </c>
      <c r="G24" s="12" t="inlineStr">
        <is>
          <t>Тимчак А. (ТА)</t>
        </is>
      </c>
      <c r="H24" s="12" t="inlineStr">
        <is>
          <t>крос (GUI-30 — розд. 4)</t>
        </is>
      </c>
    </row>
    <row r="25">
      <c r="A25" s="12" t="n">
        <v>24</v>
      </c>
      <c r="B25" s="12" t="inlineStr">
        <is>
          <t>GUI-60 (2 рядки)</t>
        </is>
      </c>
      <c r="C25" s="12" t="inlineStr">
        <is>
          <t>Простежуваність</t>
        </is>
      </c>
      <c r="D25" s="12" t="inlineStr">
        <is>
          <t>п. 2 — усі вимоги мають унікальний ідентифікатор</t>
        </is>
      </c>
      <c r="E25" s="12" t="inlineStr">
        <is>
          <t>Ідентифікатор GUI-60 присвоєно двом різним вимогам: «Форма входу містить поля …» і «Форма реєстрації містить поля у такому порядку …».</t>
        </is>
      </c>
      <c r="F25" s="12" t="inlineStr">
        <is>
          <t>Форму реєстрації позначити новим ID GUI-65; форма входу залишається GUI-60.</t>
        </is>
      </c>
      <c r="G25" s="12" t="inlineStr">
        <is>
          <t>Тимчак А. (ТА)</t>
        </is>
      </c>
      <c r="H25" s="12" t="inlineStr">
        <is>
          <t>крос (розд. 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0" customWidth="1" min="4" max="4"/>
    <col width="60" customWidth="1" min="5" max="5"/>
    <col width="62" customWidth="1" min="6" max="6"/>
    <col width="20" customWidth="1" min="7" max="7"/>
    <col width="11" customWidth="1" min="8" max="8"/>
    <col width="22" customWidth="1" min="9" max="9"/>
    <col width="45" customWidth="1" min="10" max="10"/>
    <col width="3" customWidth="1" min="11" max="11"/>
    <col width="22" customWidth="1" min="12" max="12"/>
    <col width="10" customWidth="1" min="13" max="13"/>
  </cols>
  <sheetData>
    <row r="1">
      <c r="A1" s="21" t="inlineStr">
        <is>
          <t>№</t>
        </is>
      </c>
      <c r="B1" s="21" t="inlineStr">
        <is>
          <t>ID/локатор</t>
        </is>
      </c>
      <c r="C1" s="21" t="inlineStr">
        <is>
          <t>Критерій</t>
        </is>
      </c>
      <c r="D1" s="21" t="inlineStr">
        <is>
          <t>Пункт чек-листа</t>
        </is>
      </c>
      <c r="E1" s="21" t="inlineStr">
        <is>
          <t>Опис дефекту (цитата)</t>
        </is>
      </c>
      <c r="F1" s="21" t="inlineStr">
        <is>
          <t>Пропозиція виправлення</t>
        </is>
      </c>
      <c r="G1" s="21" t="inlineStr">
        <is>
          <t>Хто знайшов</t>
        </is>
      </c>
      <c r="H1" s="21" t="inlineStr">
        <is>
          <t>Статус</t>
        </is>
      </c>
      <c r="I1" s="21" t="inlineStr">
        <is>
          <t>Джерела</t>
        </is>
      </c>
      <c r="J1" s="21" t="inlineStr">
        <is>
          <t>Примітка</t>
        </is>
      </c>
      <c r="L1" s="11" t="inlineStr">
        <is>
          <t>Критерій</t>
        </is>
      </c>
      <c r="M1" s="11" t="inlineStr">
        <is>
          <t>Прийнято</t>
        </is>
      </c>
    </row>
    <row r="2">
      <c r="A2" s="22" t="n">
        <v>1</v>
      </c>
      <c r="B2" s="22" t="inlineStr">
        <is>
          <t>2.2 ↔ розд. 6 (вимога про 375 px, без ID)</t>
        </is>
      </c>
      <c r="C2" s="22" t="inlineStr">
        <is>
          <t>Несуперечливість</t>
        </is>
      </c>
      <c r="D2" s="22" t="inlineStr">
        <is>
          <t>п. 2 — вимоги не суперечать одна одній</t>
        </is>
      </c>
      <c r="E2" s="22" t="inlineStr">
        <is>
          <t>«Підтримувані браузери: Chrome 120 і новіші, Firefox 115 і новіші на настільних операційних системах; мінімальна роздільна здатність вікна 1280×800» (2.2) суперечить «Інтерфейс коректно відображається за ширини вікна 375 пікселів … кнопками, придатними для натискання пальцем (не менше 44×44 пікселі)» (розд. 6). 2.2 обмежує продукт настільними ОС і шириною від 1280 пікселів, а розд. 6 вимагає мобільної ширини 375 пікселів і сенсорного керування.</t>
        </is>
      </c>
      <c r="F2" s="22" t="inlineStr">
        <is>
          <t>Варіант Горбонос О. (СМ): У 2.2: «Підтримувані браузери: Chrome 120 і новіші, Firefox 115 і новіші на настільних операційних системах; підтримувані розміри вікна — від 375 пікселів у ширину (мобільний вигляд інтерфейсу) і більше, основний настільний розмір — 1280×800.» (Мінімальну ширину 375 px узято з розділу 6 — потребує підтвердження замовником.)
Варіант Коротка К. (КТ): 2.2: «Підтримувані браузери: Chrome 120 і новіші, Firefox 115 і новіші на настільних операційних системах, Chrome для Android 120 і новіші, Safari для iOS 17 і новіші; мінімальна ширина вікна — 375 пікселів.»</t>
        </is>
      </c>
      <c r="G2" s="22" t="inlineStr">
        <is>
          <t>Горбонос О. (СМ), Коротка К. (КТ)</t>
        </is>
      </c>
      <c r="H2" s="22" t="inlineStr">
        <is>
          <t>прийнято</t>
        </is>
      </c>
      <c r="I2" s="22" t="inlineStr">
        <is>
          <t>audit_horbonos №8; audit_korotka №1</t>
        </is>
      </c>
      <c r="J2" s="22" t="inlineStr">
        <is>
          <t>Відсутність ID у вимозі розд. 6 — окремий рядок (див. «розд. 6, між U-20 і D-10»). Варіанти виправлення різняться (мобільні браузери) — потребує підтвердження замовником.</t>
        </is>
      </c>
      <c r="L2" s="23" t="inlineStr">
        <is>
          <t>Однозначність</t>
        </is>
      </c>
      <c r="M2" s="23">
        <f>COUNTIFS($C$2:$C$37,L2,$H$2:$H$37,"прийнято")</f>
        <v/>
      </c>
    </row>
    <row r="3">
      <c r="A3" s="22" t="n">
        <v>2</v>
      </c>
      <c r="B3" s="22" t="inlineStr">
        <is>
          <t>F-10</t>
        </is>
      </c>
      <c r="C3" s="22" t="inlineStr">
        <is>
          <t>Повнота</t>
        </is>
      </c>
      <c r="D3" s="22" t="inlineStr">
        <is>
          <t>п. 1 — вимога містить повну інформацію</t>
        </is>
      </c>
      <c r="E3" s="22" t="inlineStr">
        <is>
          <t>«обов'язковість полів позначено у формі зірочкою» — вимога не називає, які саме поля обов'язкові; тест-кейс для незаповненого поля неможливо скласти.</t>
        </is>
      </c>
      <c r="F3" s="22" t="inlineStr">
        <is>
          <t>«… Обов'язкові поля: ім'я, прізвище, дата народження, країна, поштовий індекс, номер будинку, вулиця, місто, область (штат), телефон, адреса електронної пошти, пароль; обов'язкові поля позначено у формі зірочкою.»</t>
        </is>
      </c>
      <c r="G3" s="22" t="inlineStr">
        <is>
          <t>Тимчак А. (ТА)</t>
        </is>
      </c>
      <c r="H3" s="22" t="inlineStr">
        <is>
          <t>прийнято</t>
        </is>
      </c>
      <c r="I3" s="22" t="inlineStr">
        <is>
          <t>audit_tymchak №1</t>
        </is>
      </c>
      <c r="J3" s="22" t="inlineStr">
        <is>
          <t>Інший дефект F-10 (зайнята e-mail) — окремий рядок. Після рецензії СМ (12.10.2026) «область (штат)» віднесено до обов'язкових полів: на demo поле state обов'язкове (aria-required=true у формі реєстрації), а F-110 (крок 3) включає область до адреси доставки. Перелік обов'язкових полів — потребує підтвердження замовником.</t>
        </is>
      </c>
      <c r="L3" s="23" t="inlineStr">
        <is>
          <t>Повнота</t>
        </is>
      </c>
      <c r="M3" s="23">
        <f>COUNTIFS($C$2:$C$37,L3,$H$2:$H$37,"прийнято")</f>
        <v/>
      </c>
    </row>
    <row r="4">
      <c r="A4" s="22" t="n">
        <v>3</v>
      </c>
      <c r="B4" s="22" t="inlineStr">
        <is>
          <t>F-10</t>
        </is>
      </c>
      <c r="C4" s="22" t="inlineStr">
        <is>
          <t>Повнота</t>
        </is>
      </c>
      <c r="D4" s="22" t="inlineStr">
        <is>
          <t>п. 5 — описано реакції на помилки та виняткові ситуації</t>
        </is>
      </c>
      <c r="E4" s="22" t="inlineStr">
        <is>
          <t>«Після успішної реєстрації система створює обліковий запис покупця і переходить на сторінку входу» — не описано реакцію на вже зареєстровану адресу електронної пошти.</t>
        </is>
      </c>
      <c r="F4" s="22" t="inlineStr">
        <is>
          <t>Додати до F-10: «Якщо адреса електронної пошти вже зареєстрована, обліковий запис не створюється, і система показує повідомлення «A customer with this email address already exists.»»</t>
        </is>
      </c>
      <c r="G4" s="22" t="inlineStr">
        <is>
          <t>Тимчак А. (ТА)</t>
        </is>
      </c>
      <c r="H4" s="22" t="inlineStr">
        <is>
          <t>прийнято</t>
        </is>
      </c>
      <c r="I4" s="22" t="inlineStr">
        <is>
          <t>audit_tymchak №2</t>
        </is>
      </c>
      <c r="J4" s="22" t="inlineStr">
        <is>
          <t>Текст повідомлення — потребує підтвердження замовником.</t>
        </is>
      </c>
      <c r="L4" s="23" t="inlineStr">
        <is>
          <t>Несуперечливість</t>
        </is>
      </c>
      <c r="M4" s="23">
        <f>COUNTIFS($C$2:$C$37,L4,$H$2:$H$37,"прийнято")</f>
        <v/>
      </c>
    </row>
    <row r="5">
      <c r="A5" s="22" t="n">
        <v>4</v>
      </c>
      <c r="B5" s="22" t="inlineStr">
        <is>
          <t>F-20</t>
        </is>
      </c>
      <c r="C5" s="22" t="inlineStr">
        <is>
          <t>Однозначність</t>
        </is>
      </c>
      <c r="D5" s="22" t="inlineStr">
        <is>
          <t>п. 2 — вимога чітка і зрозуміла; п. 4 — допускає єдину інтерпретацію</t>
        </is>
      </c>
      <c r="E5" s="22" t="inlineStr">
        <is>
          <t>«Після успішного входу система перенаправляє користувача на відповідну сторінку» — «відповідну» не визначено, очікуваний результат тесту неоднозначний.</t>
        </is>
      </c>
      <c r="F5" s="22" t="inlineStr">
        <is>
          <t>Варіант Горбонос О. (СМ): «Після успішного входу система перенаправляє покупця на сторінку особистого кабінету (/account); якщо вхід виконано на кроці «Sign in» оформлення замовлення (F-110) — на крок «Billing Address».»</t>
        </is>
      </c>
      <c r="G5" s="22" t="inlineStr">
        <is>
          <t>Горбонос О. (СМ), Тимчак А. (ТА)</t>
        </is>
      </c>
      <c r="H5" s="22" t="inlineStr">
        <is>
          <t>прийнято</t>
        </is>
      </c>
      <c r="I5" s="22" t="inlineStr">
        <is>
          <t>audit_horbonos №1; audit_tymchak №3</t>
        </is>
      </c>
      <c r="J5" s="22" t="inlineStr">
        <is>
          <t>Після рецензії КТ (12.10.2026) залишено варіант Горбонос: варіант Тимчак («перенаправляє … на сторінку особистого кабінету (F-130)») суперечив F-110 — після входу на кроці «Sign in» покупець переходить на крок «Billing Address», а не в кабінет. Варіант Тимчак прибрано.</t>
        </is>
      </c>
      <c r="L5" s="23" t="inlineStr">
        <is>
          <t>Простежуваність</t>
        </is>
      </c>
      <c r="M5" s="23">
        <f>COUNTIFS($C$2:$C$37,L5,$H$2:$H$37,"прийнято")</f>
        <v/>
      </c>
    </row>
    <row r="6">
      <c r="A6" s="22" t="n">
        <v>5</v>
      </c>
      <c r="B6" s="22" t="inlineStr">
        <is>
          <t>F-30</t>
        </is>
      </c>
      <c r="C6" s="22" t="inlineStr">
        <is>
          <t>Здійсненність</t>
        </is>
      </c>
      <c r="D6" s="22" t="inlineStr">
        <is>
          <t>вимоги здійсненні з погляду наявних ресурсів; виконання не залежить від систем, які продукт не контролює</t>
        </is>
      </c>
      <c r="E6" s="22" t="inlineStr">
        <is>
          <t>«гарантує його доставку до поштової скриньки користувача не довше ніж за 1 секунду незалежно від поштового провайдера одержувача» — доставка залежить від сторонніх поштових серверів, які продукт не контролює.</t>
        </is>
      </c>
      <c r="F6" s="22" t="inlineStr">
        <is>
          <t>Варіант Горбонос О. (СМ): «Після надсилання форми система формує лист із посиланням для встановлення нового пароля і передає його поштовому сервісу не довше ніж за 1 секунду; час доставки до скриньки залежить від поштового провайдера одержувача і не гарантується.»
Варіант Тимчак А. (ТА): «Після надсилання форми система формує лист із посиланням для встановлення нового пароля і передає його поштовому серверу ШопЛайн не пізніше ніж за 5 с; час доставки до скриньки одержувача залежить від його поштового провайдера і не гарантується.»</t>
        </is>
      </c>
      <c r="G6" s="22" t="inlineStr">
        <is>
          <t>Горбонос О. (СМ), Тимчак А. (ТА)</t>
        </is>
      </c>
      <c r="H6" s="22" t="inlineStr">
        <is>
          <t>прийнято</t>
        </is>
      </c>
      <c r="I6" s="22" t="inlineStr">
        <is>
          <t>audit_horbonos №9; audit_tymchak №4</t>
        </is>
      </c>
      <c r="J6" s="22" t="inlineStr">
        <is>
          <t>Варіанти різняться лише часом передачі листа (1 с / 5 с) — потребує підтвердження замовником. До SRS 1.1 обрано варіант Горбонос (1 с): зберігає значення 1 с із SRS 1.0 і прибирає лише нездійсненну гарантію доставки до скриньки.</t>
        </is>
      </c>
      <c r="L6" s="23" t="inlineStr">
        <is>
          <t>Здійсненність</t>
        </is>
      </c>
      <c r="M6" s="23">
        <f>COUNTIFS($C$2:$C$37,L6,$H$2:$H$37,"прийнято")</f>
        <v/>
      </c>
    </row>
    <row r="7">
      <c r="A7" s="22" t="n">
        <v>6</v>
      </c>
      <c r="B7" s="22" t="inlineStr">
        <is>
          <t>F-40 ↔ GUI-20</t>
        </is>
      </c>
      <c r="C7" s="22" t="inlineStr">
        <is>
          <t>Несуперечливість</t>
        </is>
      </c>
      <c r="D7" s="22" t="inlineStr">
        <is>
          <t>п. 2 — вимоги не суперечать одна одній</t>
        </is>
      </c>
      <c r="E7" s="22" t="inlineStr">
        <is>
          <t>«Картки каталогу розміщуються сіткою у три колонки по 12 карток на сторінці» (GUI-20) суперечить «по 9 карток на сторінці» (F-40).</t>
        </is>
      </c>
      <c r="F7" s="22" t="inlineStr">
        <is>
          <t>У GUI-20: «Картки каталогу розміщуються сіткою у три колонки по 9 карток на сторінці; картка містить зображення, назву, шкалу класу CO2 і ціну; для відсутнього товару поверх зображення виводиться позначка «Out of stock».»</t>
        </is>
      </c>
      <c r="G7" s="22" t="inlineStr">
        <is>
          <t>Горбонос О. (СМ), Коротка К. (КТ), Дрєпіна А. (ІТ), Тимчак А. (ТА)</t>
        </is>
      </c>
      <c r="H7" s="22" t="inlineStr">
        <is>
          <t>прийнято</t>
        </is>
      </c>
      <c r="I7" s="22" t="inlineStr">
        <is>
          <t>audit_horbonos №7; audit_korotka №3; audit_drepina №1; audit_tymchak №5</t>
        </is>
      </c>
      <c r="J7" s="22" t="inlineStr">
        <is>
          <t>Усі четверо пропонують виправити GUI-20 на 9 карток (як у F-40 і в demo).</t>
        </is>
      </c>
      <c r="L7" s="23" t="inlineStr">
        <is>
          <t>Тестопридатність</t>
        </is>
      </c>
      <c r="M7" s="23">
        <f>COUNTIFS($C$2:$C$37,L7,$H$2:$H$37,"прийнято")</f>
        <v/>
      </c>
    </row>
    <row r="8">
      <c r="A8" s="22" t="n">
        <v>7</v>
      </c>
      <c r="B8" s="22" t="inlineStr">
        <is>
          <t>F-50</t>
        </is>
      </c>
      <c r="C8" s="22" t="inlineStr">
        <is>
          <t>Однозначність</t>
        </is>
      </c>
      <c r="D8" s="22" t="inlineStr">
        <is>
          <t>п. 4 — вимога точна і допускає єдину інтерпретацію</t>
        </is>
      </c>
      <c r="E8" s="22" t="inlineStr">
        <is>
          <t>«Кілька фільтрів поєднуються за правилом «І»» — незрозуміло, чи «І» діє між прапорцями одного виду (дві категорії одночасно дадуть порожній список) чи лише між різними видами фільтрів.</t>
        </is>
      </c>
      <c r="F8" s="22" t="inlineStr">
        <is>
          <t>«Фільтри різних видів (категорія, бренд, діапазон ціни, «Eco-Friendly Products») поєднуються за правилом «І»; кілька позначених прапорців одного виду поєднуються за правилом «АБО».»</t>
        </is>
      </c>
      <c r="G8" s="22" t="inlineStr">
        <is>
          <t>Тимчак А. (ТА)</t>
        </is>
      </c>
      <c r="H8" s="22" t="inlineStr">
        <is>
          <t>прийнято</t>
        </is>
      </c>
      <c r="I8" s="22" t="inlineStr">
        <is>
          <t>audit_tymchak №6</t>
        </is>
      </c>
      <c r="J8" s="22" t="inlineStr">
        <is>
          <t>Потребує підтвердження замовником.</t>
        </is>
      </c>
      <c r="L8" s="23" t="inlineStr">
        <is>
          <t>Разом</t>
        </is>
      </c>
      <c r="M8" s="23">
        <f>SUM(M2:M7)</f>
        <v/>
      </c>
    </row>
    <row r="9">
      <c r="A9" s="22" t="n">
        <v>8</v>
      </c>
      <c r="B9" s="22" t="inlineStr">
        <is>
          <t>F-50</t>
        </is>
      </c>
      <c r="C9" s="22" t="inlineStr">
        <is>
          <t>Тестопридатність</t>
        </is>
      </c>
      <c r="D9" s="22" t="inlineStr">
        <is>
          <t>практичний тест: тест-кейс з однозначним результатом «пройдено / не пройдено»</t>
        </is>
      </c>
      <c r="E9" s="22" t="inlineStr">
        <is>
          <t>«система показує текстове повідомлення про відсутність товарів» — текст не задано, тож тест не може однозначно перевірити результат.</t>
        </is>
      </c>
      <c r="F9" s="22" t="inlineStr">
        <is>
          <t>«… список карток порожній, а система показує повідомлення «There are no products found.»»</t>
        </is>
      </c>
      <c r="G9" s="22" t="inlineStr">
        <is>
          <t>Тимчак А. (ТА)</t>
        </is>
      </c>
      <c r="H9" s="22" t="inlineStr">
        <is>
          <t>відхилено після обговорення</t>
        </is>
      </c>
      <c r="I9" s="22" t="inlineStr">
        <is>
          <t>audit_tymchak №7</t>
        </is>
      </c>
      <c r="J9" s="22" t="inlineStr">
        <is>
          <t>Відхилено після обговорення (аркуш «Спірні», модерація КТ, 08.10.2026): наявність повідомлення про відсутність товарів перевіряється однозначно, точний текст — деталь дизайну; рішення однакове з №20.</t>
        </is>
      </c>
      <c r="L9" s="23" t="n"/>
      <c r="M9" s="23" t="n"/>
    </row>
    <row r="10">
      <c r="A10" s="22" t="n">
        <v>9</v>
      </c>
      <c r="B10" s="22" t="inlineStr">
        <is>
          <t>F-60</t>
        </is>
      </c>
      <c r="C10" s="22" t="inlineStr">
        <is>
          <t>Однозначність</t>
        </is>
      </c>
      <c r="D10" s="22" t="inlineStr">
        <is>
          <t>п. 4 — вимога точна і допускає єдину інтерпретацію</t>
        </is>
      </c>
      <c r="E10" s="22" t="inlineStr">
        <is>
          <t>«знайти товари, назви яких схожі на введений запит» — «схожі» допускає різні тлумачення (підрядок, початок слова, нечіткий пошук).</t>
        </is>
      </c>
      <c r="F10" s="22" t="inlineStr">
        <is>
          <t>«Поле пошуку на головній сторінці дозволяє знайти товари, назви яких містять введений запит (без урахування регістру літер).» (Правило звірено з demo: запит «PLI» повертає «Pliers», «Combination Pliers» та інші.)</t>
        </is>
      </c>
      <c r="G10" s="22" t="inlineStr">
        <is>
          <t>Горбонос О. (СМ), Тимчак А. (ТА)</t>
        </is>
      </c>
      <c r="H10" s="22" t="inlineStr">
        <is>
          <t>прийнято</t>
        </is>
      </c>
      <c r="I10" s="22" t="inlineStr">
        <is>
          <t>audit_horbonos №2; audit_tymchak №8</t>
        </is>
      </c>
      <c r="J10" s="22" t="inlineStr">
        <is>
          <t>Виправлення збігаються (підрядок, без урахування регістру).</t>
        </is>
      </c>
      <c r="L10" s="23" t="inlineStr">
        <is>
          <t>Відхилено після обговорення</t>
        </is>
      </c>
      <c r="M10" s="23">
        <f>COUNTIF($H$2:$H$37,"відхилено після обговорення")</f>
        <v/>
      </c>
    </row>
    <row r="11">
      <c r="A11" s="22" t="n">
        <v>10</v>
      </c>
      <c r="B11" s="22" t="inlineStr">
        <is>
          <t>F-90</t>
        </is>
      </c>
      <c r="C11" s="22" t="inlineStr">
        <is>
          <t>Тестопридатність</t>
        </is>
      </c>
      <c r="D11" s="22" t="inlineStr">
        <is>
          <t>практичний тест: тест-кейс з однозначним результатом «пройдено / не пройдено»</t>
        </is>
      </c>
      <c r="E11" s="22" t="inlineStr">
        <is>
          <t>«додає товар у кошик у вказаній кількості миттєво і без помилок» — слова-маркери «миттєво», «без помилок»; немає числа й способу спостереження.</t>
        </is>
      </c>
      <c r="F11" s="22" t="inlineStr">
        <is>
          <t>Варіант Горбонос О. (СМ): «Натискання «Add to cart» не довше ніж за 1 с додає товар у кошик у вказаній кількості (позиція з'являється на кроці «Cart»), повідомлення про помилку не виводиться; повторне додавання того самого товару збільшує його кількість у кошику.» (Значення 1 с — потребує підтвердження замовником.)
Варіант Тимчак А. (ТА): «Натискання «Add to cart» додає товар у кошик у кількості з поля «Quantity»; не пізніше ніж за 2 с після натискання виводиться повідомлення «Product added to shopping cart.» (час 2 с і текст повідомлення — потребує підтвердження замовником); повторне додавання того самого товару збільшує кількість у наявному рядку (BL-20).»</t>
        </is>
      </c>
      <c r="G11" s="22" t="inlineStr">
        <is>
          <t>Горбонос О. (СМ), Тимчак А. (ТА)</t>
        </is>
      </c>
      <c r="H11" s="22" t="inlineStr">
        <is>
          <t>прийнято</t>
        </is>
      </c>
      <c r="I11" s="22" t="inlineStr">
        <is>
          <t>audit_horbonos №10; audit_tymchak №9</t>
        </is>
      </c>
      <c r="J11" s="22" t="inlineStr">
        <is>
          <t>Варіанти різняться часом (1 с / 2 с) і способом спостереження — потребує підтвердження замовником. До SRS 1.1 обрано варіант Тимчак: результат спостерігається на сторінці товару (повідомлення, звірене з demo) без переходу в кошик і пов'язаний з BL-20.</t>
        </is>
      </c>
      <c r="L11" s="23" t="inlineStr">
        <is>
          <t>Рядків в аркушах аудиту</t>
        </is>
      </c>
      <c r="M11" s="23" t="n">
        <v>68</v>
      </c>
    </row>
    <row r="12">
      <c r="A12" s="22" t="n">
        <v>11</v>
      </c>
      <c r="B12" s="22" t="inlineStr">
        <is>
          <t>F-100</t>
        </is>
      </c>
      <c r="C12" s="22" t="inlineStr">
        <is>
          <t>Повнота</t>
        </is>
      </c>
      <c r="D12" s="22" t="inlineStr">
        <is>
          <t>п. 3 — немає посилань на неіснуючі документи</t>
        </is>
      </c>
      <c r="E12" s="22" t="inlineStr">
        <is>
          <t>«Обмеження на кількість одиниць у рядку визначає вимога BL-25» — вимоги BL-25 у специфікації немає.</t>
        </is>
      </c>
      <c r="F12" s="22" t="inlineStr">
        <is>
          <t>Варіант Коротка К. (КТ), Тимчак А. (ТА): «Обмеження на кількість одиниць у рядку (від 1 до 99) визначають вимоги BL-10, BL-20 і BL-40.»</t>
        </is>
      </c>
      <c r="G12" s="22" t="inlineStr">
        <is>
          <t>Горбонос О. (СМ), Коротка К. (КТ), Тимчак А. (ТА)</t>
        </is>
      </c>
      <c r="H12" s="22" t="inlineStr">
        <is>
          <t>прийнято</t>
        </is>
      </c>
      <c r="I12" s="22" t="inlineStr">
        <is>
          <t>audit_horbonos №3; audit_korotka №17; audit_tymchak №10</t>
        </is>
      </c>
      <c r="J12" s="22" t="inlineStr">
        <is>
          <t>Для SRS 1.1 обрано варіант КТ/ТА (посилання на всі вимоги, що задають межі кількості: BL-10, BL-20, BL-40); варіант СМ прибрано за рецензією SCRUM-59.</t>
        </is>
      </c>
    </row>
    <row r="13">
      <c r="A13" s="22" t="n">
        <v>12</v>
      </c>
      <c r="B13" s="22" t="inlineStr">
        <is>
          <t>F-110 ↔ BL-60</t>
        </is>
      </c>
      <c r="C13" s="22" t="inlineStr">
        <is>
          <t>Несуперечливість</t>
        </is>
      </c>
      <c r="D13" s="22" t="inlineStr">
        <is>
          <t>п. 2 — вимоги не суперечать одна одній</t>
        </is>
      </c>
      <c r="E13" s="22" t="inlineStr">
        <is>
          <t>«вартість доставки: 120 грн, а для замовлень від 2000 грн доставка безкоштовна» (F-110) суперечить «0.00 грн, якщо сума після знижки не менша за 1500 грн; інакше 120.00 грн» (BL-60): різний поріг (2000 / 1500) і різна база (сума замовлення / сума після знижки).</t>
        </is>
      </c>
      <c r="F13" s="22" t="inlineStr">
        <is>
          <t>F-110: «… вартість доставки визначається за BL-60: 0.00 грн, якщо сума після знижки за обсяг (BL-50) і знижки за промокодом (BL-80) не менша за 1500 грн, інакше 120.00 грн.» Формулювання збігається з виправленням BL-60 (рядок №33). База порогу, поріг і межа — потребують підтвердження замовником.</t>
        </is>
      </c>
      <c r="G13" s="22" t="inlineStr">
        <is>
          <t>Горбонос О. (СМ), Коротка К. (КТ), Дрєпіна А. (ІТ), Тимчак А. (ТА)</t>
        </is>
      </c>
      <c r="H13" s="22" t="inlineStr">
        <is>
          <t>прийнято</t>
        </is>
      </c>
      <c r="I13" s="22" t="inlineStr">
        <is>
          <t>audit_horbonos №5; audit_korotka №16; audit_drepina №10; audit_tymchak №11</t>
        </is>
      </c>
      <c r="J13" s="22" t="inlineStr">
        <is>
          <t>Переписано за рішенням команди (SCRUM-55, аркуш «Спірні»): одне рішення для F-110 і BL-60 разом із №33 — база порогу = сума після знижки за обсяг і знижки за промокодом, поріг 1500 грн, межа «не менша за»; попередні варіанти авторів зведено в один. Знижки й доставка в підсумку замовлення — вимога нової функції (№13). Потребує підтвердження замовником.</t>
        </is>
      </c>
      <c r="L13" s="24" t="inlineStr">
        <is>
          <t>Чернетка SCRUM-53. Рядки впорядковано за порядком SRS (2.2 → F → GUI → P/S/U/D → BL). Однакові дефекти (той самий ID, критерій, суть) зведено в один рядок з усіма авторами; коли виправлення різняться, наведено всі варіанти з авторами. «спірне» — розбіжність у класифікації або сумнівний рядок; вирішення — поза цією задачею.</t>
        </is>
      </c>
    </row>
    <row r="14">
      <c r="A14" s="22" t="n">
        <v>13</v>
      </c>
      <c r="B14" s="22" t="inlineStr">
        <is>
          <t>F-110 ↔ розд. 2.3, пункт 3</t>
        </is>
      </c>
      <c r="C14" s="22" t="inlineStr">
        <is>
          <t>Несуперечливість</t>
        </is>
      </c>
      <c r="D14" s="22" t="inlineStr">
        <is>
          <t>п. 2 — вимоги не суперечать одна одній</t>
        </is>
      </c>
      <c r="E14" s="22" t="inlineStr">
        <is>
          <t>F-110: «Підсумок замовлення містить суму товарів, знижку за обсяг, знижку за промокодом і вартість доставки»; 2.3: «Модуль програми лояльності … в поточній версії ще не інтегрований в інтерфейс» — інтерфейс не може показувати знижки модуля, який у нього не інтегровано.</t>
        </is>
      </c>
      <c r="F14" s="22" t="inlineStr">
        <is>
          <t>Окремо не виправляється: F-110 правиться одним рішенням разом із №12 і №33. У F-110 знижки й вартість доставки в підсумку замовлення позначаються як вимога нової функції: «Підсумок замовлення містить суму товарів; як вимога нової функції (модуль програми лояльності, розд. 2.3) — також знижку за обсяг, знижку за промокодом і вартість доставки за BL-60.» Потребує підтвердження замовником.</t>
        </is>
      </c>
      <c r="G14" s="22" t="inlineStr">
        <is>
          <t>Тимчак А. (ТА)</t>
        </is>
      </c>
      <c r="H14" s="22" t="inlineStr">
        <is>
          <t>прийнято</t>
        </is>
      </c>
      <c r="I14" s="22" t="inlineStr">
        <is>
          <t>audit_tymchak №12</t>
        </is>
      </c>
      <c r="J14" s="22" t="inlineStr">
        <is>
          <t>Прийнято за рішенням команди (SCRUM-55, аркуш «Спірні»): суперечність F-110 і розд. 2.3 усувається позначкою «вимога нової функції», а не вилученням знижок із підсумку; виправлення спільне з №12 і №33. Потребує підтвердження замовником.</t>
        </is>
      </c>
    </row>
    <row r="15">
      <c r="A15" s="22" t="n">
        <v>14</v>
      </c>
      <c r="B15" s="22" t="inlineStr">
        <is>
          <t>F-120 ↔ GUI-40</t>
        </is>
      </c>
      <c r="C15" s="22" t="inlineStr">
        <is>
          <t>Несуперечливість</t>
        </is>
      </c>
      <c r="D15" s="22" t="inlineStr">
        <is>
          <t>п. 2 — вимоги не суперечать одна одній</t>
        </is>
      </c>
      <c r="E15" s="22" t="inlineStr">
        <is>
          <t>«Покупець може додати товар до списку обраного кнопкою «Add to favourites» без входу в систему» (F-120) суперечить GUI-40: «якщо покупець не увійшов у систему, після натискання виводиться повідомлення «Unauthorized, can not add product to your favorite list», і товар до обраного не додається»; також 1.3 («Список товарів, збережених зареєстрованим покупцем») і 2.1 (обране — лише зареєстрованому покупцю).</t>
        </is>
      </c>
      <c r="F15" s="22" t="inlineStr">
        <is>
          <t>F-120: «Зареєстрований покупець, який увійшов у систему, може додати товар до списку обраного кнопкою «Add to favourites»; для неавторизованого покупця товар не додається (GUI-40). Список обраного доступний у кабінеті («My favorites»), де позицію можна видалити.»</t>
        </is>
      </c>
      <c r="G15" s="22" t="inlineStr">
        <is>
          <t>Горбонос О. (СМ), Коротка К. (КТ), Дрєпіна А. (ІТ), Тимчак А. (ТА)</t>
        </is>
      </c>
      <c r="H15" s="22" t="inlineStr">
        <is>
          <t>прийнято</t>
        </is>
      </c>
      <c r="I15" s="22" t="inlineStr">
        <is>
          <t>audit_horbonos №6; audit_korotka №5; audit_drepina №3; audit_tymchak №13</t>
        </is>
      </c>
      <c r="J15" s="22" t="inlineStr">
        <is>
          <t>Виправлення всіх чотирьох збігаються за змістом (обране — лише після входу; правиться F-120).</t>
        </is>
      </c>
    </row>
    <row r="16">
      <c r="A16" s="22" t="n">
        <v>15</v>
      </c>
      <c r="B16" s="22" t="inlineStr">
        <is>
          <t>F-140</t>
        </is>
      </c>
      <c r="C16" s="22" t="inlineStr">
        <is>
          <t>Повнота</t>
        </is>
      </c>
      <c r="D16" s="22" t="inlineStr">
        <is>
          <t>п. 4 — обумовлено всі допустимі й недопустимі вхідні дані; п. 5 — реакція на помилки</t>
        </is>
      </c>
      <c r="E16" s="22" t="inlineStr">
        <is>
          <t>«довжина повідомлення — не менше 50 символів. До звернення можна додати файл-вкладення» — не задано максимальну довжину повідомлення, допустимий формат і розмір вкладення та реакцію на недопустимий файл.</t>
        </is>
      </c>
      <c r="F16" s="22" t="inlineStr">
        <is>
          <t>Варіант Горбонос О. (СМ): «До звернення можна додати один файл-вкладення розміром до 5 МБ у форматі PDF, PNG, JPG або TXT; для файлу, що не відповідає цим умовам, система показує повідомлення про недопустимий файл біля поля вкладення і не надсилає звернення (GUI-50).» (Формати й межа 5 МБ — потребує підтвердження замовником.)
Варіант Тимчак А. (ТА): «… довжина повідомлення — від 50 до 250 символів. До звернення можна додати один файл формату .txt розміром до 500 КБ; для недопустимого файла звернення не надсилається, а біля поля виводиться повідомлення про помилку (GUI-50).»</t>
        </is>
      </c>
      <c r="G16" s="22" t="inlineStr">
        <is>
          <t>Горбонос О. (СМ), Тимчак А. (ТА)</t>
        </is>
      </c>
      <c r="H16" s="22" t="inlineStr">
        <is>
          <t>прийнято</t>
        </is>
      </c>
      <c r="I16" s="22" t="inlineStr">
        <is>
          <t>audit_horbonos №4; audit_tymchak №14</t>
        </is>
      </c>
      <c r="J16" s="22" t="inlineStr">
        <is>
          <t>Варіанти різняться форматами й розміром файла (PDF/PNG/JPG/TXT до 5 МБ / .txt до 500 КБ); максимальну довжину повідомлення пропонує лише Тимчак. Потребує підтвердження замовником. До SRS 1.1 обрано варіант Тимчак: лише він задає максимальну довжину повідомлення, відсутність якої названо в описі дефекту.</t>
        </is>
      </c>
    </row>
    <row r="17">
      <c r="A17" s="22" t="n">
        <v>16</v>
      </c>
      <c r="B17" s="22" t="inlineStr">
        <is>
          <t>GUI-10</t>
        </is>
      </c>
      <c r="C17" s="22" t="inlineStr">
        <is>
          <t>Повнота</t>
        </is>
      </c>
      <c r="D17" s="22" t="inlineStr">
        <is>
          <t>п. 1 — вимога містить повну інформацію</t>
        </is>
      </c>
      <c r="E17" s="22" t="inlineStr">
        <is>
          <t>«…«Sign in» та перемикач мови інтерфейсу» — не вказано, які мови доступні і яка мова за замовчуванням (у 2.2: «Інтерфейс demo — англійською мовою»).</t>
        </is>
      </c>
      <c r="F17" s="22" t="inlineStr">
        <is>
          <t>«…«Sign in» та перемикач мови інтерфейсу з варіантами DE, EL, EN, ES, FR, NL, TR; мова за замовчуванням — EN.»</t>
        </is>
      </c>
      <c r="G17" s="22" t="inlineStr">
        <is>
          <t>Коротка К. (КТ)</t>
        </is>
      </c>
      <c r="H17" s="22" t="inlineStr">
        <is>
          <t>відхилено після обговорення</t>
        </is>
      </c>
      <c r="I17" s="22" t="inlineStr">
        <is>
          <t>audit_korotka №2</t>
        </is>
      </c>
      <c r="J17" s="22" t="inlineStr">
        <is>
          <t>Відхилено після обговорення (аркуш «Спірні», модерація КТ, 08.10.2026): перелік мов узято з demo, а не зі SRS. Винесено питанням замовнику на демо: які мови підтримує перемикач, чи є українська, яка мова за замовчуванням.</t>
        </is>
      </c>
    </row>
    <row r="18">
      <c r="A18" s="22" t="n">
        <v>17</v>
      </c>
      <c r="B18" s="22" t="inlineStr">
        <is>
          <t>GUI-30 ↔ BL-10, BL-40</t>
        </is>
      </c>
      <c r="C18" s="22" t="inlineStr">
        <is>
          <t>Несуперечливість</t>
        </is>
      </c>
      <c r="D18" s="22" t="inlineStr">
        <is>
          <t>п. 2 — вимоги не суперечать одна одній</t>
        </is>
      </c>
      <c r="E18" s="22" t="inlineStr">
        <is>
          <t>«приймає значення від 0 до 100» (GUI-30) суперечить «qty — ціле число від 1 до 99 включно» (BL-10) і «встановлює нову кількість від 1 до 99 включно» (BL-40): інтерфейс дозволяє 0 і 100, які модуль відхиляє.</t>
        </is>
      </c>
      <c r="F18" s="22" t="inlineStr">
        <is>
          <t>GUI-30: «Поле «Quantity» на сторінці товару — числове, з кнопками «−» і «+» ліворуч і праворуч; приймає цілі значення від 1 до 99 включно; значення за замовчуванням — 1.»</t>
        </is>
      </c>
      <c r="G18" s="22" t="inlineStr">
        <is>
          <t>Коротка К. (КТ), Дрєпіна А. (ІТ), Тимчак А. (ТА)</t>
        </is>
      </c>
      <c r="H18" s="22" t="inlineStr">
        <is>
          <t>прийнято</t>
        </is>
      </c>
      <c r="I18" s="22" t="inlineStr">
        <is>
          <t>audit_korotka №4; audit_drepina №2; audit_tymchak №23</t>
        </is>
      </c>
      <c r="J18" s="22" t="inlineStr">
        <is>
          <t>Виправлення всіх трьох збігаються (1–99, за замовчуванням 1).</t>
        </is>
      </c>
    </row>
    <row r="19">
      <c r="A19" s="22" t="n">
        <v>18</v>
      </c>
      <c r="B19" s="22" t="inlineStr">
        <is>
          <t>GUI-50</t>
        </is>
      </c>
      <c r="C19" s="22" t="inlineStr">
        <is>
          <t>Однозначність</t>
        </is>
      </c>
      <c r="D19" s="22" t="inlineStr">
        <is>
          <t>п. 1, 4 — вимога має одне значення й допускає єдину інтерпретацію</t>
        </is>
      </c>
      <c r="E19" s="22" t="inlineStr">
        <is>
          <t>«відображається біля відповідного поля або у верхній частині форми» — «або» дає два допустимі місця; очікуваний результат тест-кейсу неоднозначний, різні форми можуть поводитися по-різному.</t>
        </is>
      </c>
      <c r="F19" s="22" t="inlineStr">
        <is>
          <t>«Повідомлення про помилку валідації поля форми відображається текстом безпосередньо під відповідним полем; форма, що містить помилки, не надсилається.»</t>
        </is>
      </c>
      <c r="G19" s="22" t="inlineStr">
        <is>
          <t>Коротка К. (КТ), Дрєпіна А. (ІТ)</t>
        </is>
      </c>
      <c r="H19" s="22" t="inlineStr">
        <is>
          <t>прийнято</t>
        </is>
      </c>
      <c r="I19" s="22" t="inlineStr">
        <is>
          <t>audit_korotka №6; audit_drepina №9</t>
        </is>
      </c>
      <c r="J19" s="22" t="inlineStr">
        <is>
          <t>Виправлення збігаються (під полем); Дрєпіна додатково пропонує червоний колір. Місце виводу — потребує підтвердження замовником.</t>
        </is>
      </c>
    </row>
    <row r="20">
      <c r="A20" s="22" t="n">
        <v>19</v>
      </c>
      <c r="B20" s="22" t="inlineStr">
        <is>
          <t>GUI-60 (два рядки)</t>
        </is>
      </c>
      <c r="C20" s="22" t="inlineStr">
        <is>
          <t>Простежуваність</t>
        </is>
      </c>
      <c r="D20" s="22" t="inlineStr">
        <is>
          <t>п. 2 — усі вимоги мають унікальний ідентифікатор</t>
        </is>
      </c>
      <c r="E20" s="22" t="inlineStr">
        <is>
          <t>Дві різні вимоги мають однаковий ID: «GUI-60 Форма входу містить поля «Email address» та «Password»…» і «GUI-60 Форма реєстрації містить поля у такому порядку…».</t>
        </is>
      </c>
      <c r="F20" s="22" t="inlineStr">
        <is>
          <t>Залишити GUI-60 за формою входу; формі реєстрації присвоїти вільний проміжний ID GUI-65 (між GUI-60 і GUI-70); решту ID не змінювати.</t>
        </is>
      </c>
      <c r="G20" s="22" t="inlineStr">
        <is>
          <t>Коротка К. (КТ), Дрєпіна А. (ІТ), Тимчак А. (ТА)</t>
        </is>
      </c>
      <c r="H20" s="22" t="inlineStr">
        <is>
          <t>прийнято</t>
        </is>
      </c>
      <c r="I20" s="22" t="inlineStr">
        <is>
          <t>audit_korotka №7; audit_drepina №4; audit_tymchak №24</t>
        </is>
      </c>
      <c r="J20" s="22" t="inlineStr">
        <is>
          <t>Усі троє пропонують GUI-65 для форми реєстрації.</t>
        </is>
      </c>
    </row>
    <row r="21">
      <c r="A21" s="22" t="n">
        <v>20</v>
      </c>
      <c r="B21" s="22" t="inlineStr">
        <is>
          <t>GUI-70</t>
        </is>
      </c>
      <c r="C21" s="22" t="inlineStr">
        <is>
          <t>Однозначність</t>
        </is>
      </c>
      <c r="D21" s="22" t="inlineStr">
        <is>
          <t>п. 1, 4 — вимога має одне значення й допускає єдину інтерпретацію</t>
        </is>
      </c>
      <c r="E21" s="22" t="inlineStr">
        <is>
          <t>«Порожній кошик відображає текстове повідомлення замість таблиці» — не вказано, яке саме повідомлення; тест-кейс не має очікуваного результату.</t>
        </is>
      </c>
      <c r="F21" s="22" t="inlineStr">
        <is>
          <t>«Порожній кошик відображає замість таблиці текст «The cart is empty».»</t>
        </is>
      </c>
      <c r="G21" s="22" t="inlineStr">
        <is>
          <t>Коротка К. (КТ)</t>
        </is>
      </c>
      <c r="H21" s="22" t="inlineStr">
        <is>
          <t>відхилено після обговорення</t>
        </is>
      </c>
      <c r="I21" s="22" t="inlineStr">
        <is>
          <t>audit_korotka №8</t>
        </is>
      </c>
      <c r="J21" s="22" t="inlineStr">
        <is>
          <t>Відхилено після обговорення (аркуш «Спірні», модерація КТ, 08.10.2026): наявність повідомлення замість таблиці перевіряється однозначно, точний текст — деталь дизайну; рішення однакове з №8.</t>
        </is>
      </c>
    </row>
    <row r="22">
      <c r="A22" s="22" t="n">
        <v>21</v>
      </c>
      <c r="B22" s="22" t="inlineStr">
        <is>
          <t>GUI-80</t>
        </is>
      </c>
      <c r="C22" s="22" t="inlineStr">
        <is>
          <t>Здійсненність</t>
        </is>
      </c>
      <c r="D22" s="22" t="inlineStr">
        <is>
          <t>єдиний пункт — технічні ресурси; залежність від систем, які продукт не контролює</t>
        </is>
      </c>
      <c r="E22" s="22" t="inlineStr">
        <is>
          <t>«…у роздільній здатності не менше 8K (7680×4320 пікселів) без стиснення і завантажуються не довше ніж за 50 мс кожне за будь-якого з'єднання з Інтернетом» — нестиснене 8K-зображення ≈ 100 МБ; завантаження за 50 мс потребує ≈ 16 Гбіт/с, а швидкість з'єднання користувача продукт не контролює.</t>
        </is>
      </c>
      <c r="F22" s="22" t="inlineStr">
        <is>
          <t>Варіант Коротка К. (КТ): «Зображення товару на сторінці товару мають роздільну здатність не менше 1200×1200 пікселів, на картках каталогу — не менше 400×400 пікселів; за з'єднання 10 Мбіт/с зображення картки завантажується не довше ніж за 1 с.»
Варіант Дрєпіна А. (ІТ): «Зображення товарів на картках каталогу і на сторінці товару оптимізуються для веб-середовища (роздільна здатність до 800x800 пікселів, формат WebP або JPEG, розмір до 250 КБ) і завантажуються не довше ніж за 1,5 с при швидкості підключення від 10 Мбіт/с (потребує підтвердження замовником).»</t>
        </is>
      </c>
      <c r="G22" s="22" t="inlineStr">
        <is>
          <t>Коротка К. (КТ), Дрєпіна А. (ІТ)</t>
        </is>
      </c>
      <c r="H22" s="22" t="inlineStr">
        <is>
          <t>прийнято</t>
        </is>
      </c>
      <c r="I22" s="22" t="inlineStr">
        <is>
          <t>audit_korotka №9; audit_drepina №5</t>
        </is>
      </c>
      <c r="J22" s="22" t="inlineStr">
        <is>
          <t>Варіанти суперечать один одному (не менше 1200×1200 / до 800×800) — потребує підтвердження замовником. До SRS 1.1 обрано варіант Коротка (вибір ТА): зберігає намір замовника (мінімальна роздільна здатність) і задає перевірюваний час для картки за 10 Мбіт/с.</t>
        </is>
      </c>
    </row>
    <row r="23">
      <c r="A23" s="22" t="n">
        <v>22</v>
      </c>
      <c r="B23" s="22" t="inlineStr">
        <is>
          <t>GUI-100</t>
        </is>
      </c>
      <c r="C23" s="22" t="inlineStr">
        <is>
          <t>Тестопридатність</t>
        </is>
      </c>
      <c r="D23" s="22" t="inlineStr">
        <is>
          <t>немає критерію «пройдено / не пройдено»; слова-маркери</t>
        </is>
      </c>
      <c r="E23" s="22" t="inlineStr">
        <is>
          <t>«Кольорова схема інтерфейсу є приємною і сучасною, а шрифти — легкими для читання на всіх сторінках» — «приємною», «сучасною», «легкими для читання» неможливо перевірити однозначно.</t>
        </is>
      </c>
      <c r="F23" s="22" t="inlineStr">
        <is>
          <t>«Кольорова схема інтерфейсу забезпечує коефіцієнт контрастності тексту щодо фону не менше 4.5:1 для основного тексту та не менше 3:1 для великих елементів за стандартом WCAG 2.1 AA; розмір основного шрифту становить не менше 14px (потребує підтвердження замовником).»</t>
        </is>
      </c>
      <c r="G23" s="22" t="inlineStr">
        <is>
          <t>Коротка К. (КТ), Дрєпіна А. (ІТ)</t>
        </is>
      </c>
      <c r="H23" s="22" t="inlineStr">
        <is>
          <t>прийнято</t>
        </is>
      </c>
      <c r="I23" s="22" t="inlineStr">
        <is>
          <t>audit_korotka №10; audit_drepina №6</t>
        </is>
      </c>
      <c r="J23" s="22" t="inlineStr">
        <is>
          <t>Виправлення сумісні (4,5:1, 14 px); варіант Дрєпіної повніший (3:1 для великих елементів, WCAG 2.1 AA). Потребує підтвердження замовником.</t>
        </is>
      </c>
    </row>
    <row r="24">
      <c r="A24" s="22" t="n">
        <v>23</v>
      </c>
      <c r="B24" s="22" t="inlineStr">
        <is>
          <t>P-10</t>
        </is>
      </c>
      <c r="C24" s="22" t="inlineStr">
        <is>
          <t>Здійсненність</t>
        </is>
      </c>
      <c r="D24" s="22" t="inlineStr">
        <is>
          <t>єдиний пункт — залежність від систем, які продукт не контролює</t>
        </is>
      </c>
      <c r="E24" s="22" t="inlineStr">
        <is>
          <t>«…повністю завантажується не довше ніж за 0,1 с за будь-якого з'єднання з Інтернетом і на будь-якому пристрої» — час залежить від з'єднання й пристрою користувача; до того ж P-20 дозволяє відповідь API каталогу до 1 с, тож сторінка з даними API не завантажиться за 0,1 с.</t>
        </is>
      </c>
      <c r="F24" s="22" t="inlineStr">
        <is>
          <t>Варіант Коротка К. (КТ): «Сторінка каталогу повністю завантажується не довше ніж за 3 с у 95 % вимірювань у Chrome 120 на настільному комп'ютері за з'єднання 10 Мбіт/с (20 вимірювань інструментом Lighthouse).»
Варіант Дрєпіна А. (ІТ): «Час повного завантаження сторінки каталогу на настільних пристроях не перевищує 2,0 с при швидкості широкосмугового інтернет-з'єднання від 15 Мбіт/с; показник First Contentful Paint (FCP) становить не більше 1,0 с (потребує підтвердження замовником).»</t>
        </is>
      </c>
      <c r="G24" s="22" t="inlineStr">
        <is>
          <t>Коротка К. (КТ), Дрєпіна А. (ІТ)</t>
        </is>
      </c>
      <c r="H24" s="22" t="inlineStr">
        <is>
          <t>прийнято</t>
        </is>
      </c>
      <c r="I24" s="22" t="inlineStr">
        <is>
          <t>audit_korotka №11; audit_drepina №12</t>
        </is>
      </c>
      <c r="J24" s="22" t="inlineStr">
        <is>
          <t>Варіанти різняться значеннями (3 с у 95 % при 10 Мбіт/с / 2 с і FCP 1 с при 15 Мбіт/с) — потребує підтвердження замовником. До SRS 1.1 обрано варіант Коротка (вибір ТА): задано інструмент, кількість вимірювань і частку (95 %), тож результат тесту однозначний.</t>
        </is>
      </c>
    </row>
    <row r="25">
      <c r="A25" s="22" t="n">
        <v>24</v>
      </c>
      <c r="B25" s="22" t="inlineStr">
        <is>
          <t>S-10</t>
        </is>
      </c>
      <c r="C25" s="22" t="inlineStr">
        <is>
          <t>Тестопридатність</t>
        </is>
      </c>
      <c r="D25" s="22" t="inlineStr">
        <is>
          <t>немає критерію «пройдено / не пройдено»; слово-маркер «надійно»</t>
        </is>
      </c>
      <c r="E25" s="22" t="inlineStr">
        <is>
          <t>«Дані покупців надійно захищені, а система не містить вразливостей» — що спостерігати, невідомо; відсутність вразливостей неможливо довести тестом.</t>
        </is>
      </c>
      <c r="F25" s="22" t="inlineStr">
        <is>
          <t>Варіант Коротка К. (КТ): «Паролі покупців зберігаються лише у вигляді хешу bcrypt; сторінки й API доступні лише через HTTPS (запит по HTTP перенаправляється на HTTPS); запит до даних покупця Б з токеном покупця А повертає код 403.»
Варіант Дрєпіна А. (ІТ): «Усі канали передачі персональних даних покупців захищені протоколом HTTPS (TLS 1.3); паролі зберігаються в базі даних виключно у хешованому вигляді (алгоритм bcrypt із сіллю); за результатами звіту сканування безпеки на локальному тестовому стенді розробників (на публічному demo сканування не проводиться) у релізі відсутні вразливості категорій Critical та High (потребує підтвердження замовником).»</t>
        </is>
      </c>
      <c r="G25" s="22" t="inlineStr">
        <is>
          <t>Коротка К. (КТ), Дрєпіна А. (ІТ)</t>
        </is>
      </c>
      <c r="H25" s="22" t="inlineStr">
        <is>
          <t>прийнято</t>
        </is>
      </c>
      <c r="I25" s="22" t="inlineStr">
        <is>
          <t>audit_korotka №12; audit_drepina №13</t>
        </is>
      </c>
      <c r="J25" s="22" t="inlineStr">
        <is>
          <t>Варіанти частково перетинаються (bcrypt, HTTPS) і можуть бути об'єднані. Коротка: «не містить вразливостей» порушує й здійсненність, головний критерій — тестопридатність. Перелік заходів — потребує підтвердження замовником. До SRS 1.1 варіанти об'єднано (вибір ТА): bcrypt, лише HTTPS із перенаправленням HTTP, код 403 для даних іншого покупця (Коротка); TLS 1.3 і відсутність вразливостей Critical/High за скануванням на локальному тестовому стенді (Дрєпіна) — потребує підтвердження замовником.</t>
        </is>
      </c>
    </row>
    <row r="26">
      <c r="A26" s="22" t="n">
        <v>25</v>
      </c>
      <c r="B26" s="22" t="inlineStr">
        <is>
          <t>U-10</t>
        </is>
      </c>
      <c r="C26" s="22" t="inlineStr">
        <is>
          <t>Тестопридатність</t>
        </is>
      </c>
      <c r="D26" s="22" t="inlineStr">
        <is>
          <t>немає критерію «пройдено / не пройдено»; слова-маркери «інтуїтивно», «зручно»</t>
        </is>
      </c>
      <c r="E26" s="22" t="inlineStr">
        <is>
          <t>«Інтерфейс є інтуїтивно зрозумілим і зручним для всіх категорій користувачів».</t>
        </is>
      </c>
      <c r="F26" s="22" t="inlineStr">
        <is>
          <t>Варіант Коротка К. (КТ): «Новий користувач без інструкції знаходить товар пошуком, додає його в кошик і доходить до кроку «Payment» не довше ніж за 3 хв і не більше ніж з однією помилкою; перевірка на 5 учасниках, критерій — 4 з 5.»
Варіант Дрєпіна А. (ІТ): «Новий користувач без попереднього інструктажу успішно проходить наскрізний чекаут не довше ніж за 3 хвилини; показник Task Success Rate становить не менше 90% при вибірці з 10 респондентів (потребує підтвердження замовником).»</t>
        </is>
      </c>
      <c r="G26" s="22" t="inlineStr">
        <is>
          <t>Коротка К. (КТ), Дрєпіна А. (ІТ)</t>
        </is>
      </c>
      <c r="H26" s="22" t="inlineStr">
        <is>
          <t>прийнято</t>
        </is>
      </c>
      <c r="I26" s="22" t="inlineStr">
        <is>
          <t>audit_korotka №13; audit_drepina №14</t>
        </is>
      </c>
      <c r="J26" s="22" t="inlineStr">
        <is>
          <t>Варіанти різняться методикою (4 з 5 учасників / 90 % з 10 респондентів) — потребує підтвердження замовником. До SRS 1.1 обрано варіант Дрєпіна (вибір ТА): його вже використовує план тестування (тип 3, 10 учасників).</t>
        </is>
      </c>
    </row>
    <row r="27">
      <c r="A27" s="22" t="n">
        <v>26</v>
      </c>
      <c r="B27" s="22" t="inlineStr">
        <is>
          <t>розд. 6, між U-20 і D-10 (без ID)</t>
        </is>
      </c>
      <c r="C27" s="22" t="inlineStr">
        <is>
          <t>Простежуваність</t>
        </is>
      </c>
      <c r="D27" s="22" t="inlineStr">
        <is>
          <t>п. 2 — усі вимоги мають унікальний ідентифікатор</t>
        </is>
      </c>
      <c r="E27" s="22" t="inlineStr">
        <is>
          <t>«Інтерфейс коректно відображається за ширини вікна 375 пікселів: без горизонтального прокручування, з доступним меню навігації та кнопками, придатними для натискання пальцем (не менше 44×44 пікселі)» — рядок вимоги без ідентифікатора.</t>
        </is>
      </c>
      <c r="F27" s="22" t="inlineStr">
        <is>
          <t>Присвоїти вільний ID U-30 (наступний у групі U, крок 10).</t>
        </is>
      </c>
      <c r="G27" s="22" t="inlineStr">
        <is>
          <t>Коротка К. (КТ), Дрєпіна А. (ІТ)</t>
        </is>
      </c>
      <c r="H27" s="22" t="inlineStr">
        <is>
          <t>прийнято</t>
        </is>
      </c>
      <c r="I27" s="22" t="inlineStr">
        <is>
          <t>audit_korotka №14; audit_drepina №15</t>
        </is>
      </c>
      <c r="J27" s="22" t="inlineStr">
        <is>
          <t>Обидва пропонують U-30. Зміст рядка суперечить 2.2 — див. рядок «2.2 ↔ розд. 6».</t>
        </is>
      </c>
    </row>
    <row r="28">
      <c r="A28" s="22" t="n">
        <v>27</v>
      </c>
      <c r="B28" s="22" t="inlineStr">
        <is>
          <t>D-10</t>
        </is>
      </c>
      <c r="C28" s="22" t="inlineStr">
        <is>
          <t>Повнота</t>
        </is>
      </c>
      <c r="D28" s="22" t="inlineStr">
        <is>
          <t>п. 3 — немає посилань на неіснуючі документи</t>
        </is>
      </c>
      <c r="E28" s="22" t="inlineStr">
        <is>
          <t>«розділ про програму лояльності укладено згідно з «Регламентом програми лояльності ШопЛайн-ЛП-2025», розділ 4» — цього документа немає в 1.4 «Посилання».</t>
        </is>
      </c>
      <c r="F28" s="22" t="inlineStr">
        <is>
          <t>«…розділ про програму лояльності описує правила BL-50 – BL-80 цієї специфікації (знижка за обсяг, вартість доставки, промокоди).»</t>
        </is>
      </c>
      <c r="G28" s="22" t="inlineStr">
        <is>
          <t>Коротка К. (КТ), Дрєпіна А. (ІТ)</t>
        </is>
      </c>
      <c r="H28" s="22" t="inlineStr">
        <is>
          <t>прийнято</t>
        </is>
      </c>
      <c r="I28" s="22" t="inlineStr">
        <is>
          <t>audit_korotka №15; audit_drepina №16</t>
        </is>
      </c>
      <c r="J28" s="22" t="inlineStr">
        <is>
          <t>Виправлення збігаються за змістом (посилатися на розділ 5 / BL-50 – BL-80). Якщо регламент існує — додати його до 1.4 (потребує підтвердження замовником).</t>
        </is>
      </c>
    </row>
    <row r="29">
      <c r="A29" s="22" t="n">
        <v>28</v>
      </c>
      <c r="B29" s="22" t="inlineStr">
        <is>
          <t>BL-10</t>
        </is>
      </c>
      <c r="C29" s="22" t="inlineStr">
        <is>
          <t>Однозначність</t>
        </is>
      </c>
      <c r="D29" s="22" t="inlineStr">
        <is>
          <t>п. 4 (допускає єдину інтерпретацію; правило перевірки межі до чи після округлення)</t>
        </is>
      </c>
      <c r="E29" s="22" t="inlineStr">
        <is>
          <t>«unitPrice — сума в гривнях, строго більша за 0; sku — непорожній рядок... Ціна зберігається з округленням до копійок (HALF_UP).» — не визначено однозначно: перевірка умови «unitPrice &gt; 0» виконується ДО чи ПІСЛЯ округлення за правилом HALF_UP (наприклад, значення 0.004 строго більше 0, але після округлення HALF_UP перетворюється на 0.00 грн).</t>
        </is>
      </c>
      <c r="F29" s="22" t="inlineStr">
        <is>
          <t>«Cart.addItem(sku, name, unitPrice, qty) додає позицію до кошика. Допустимі значення: qty — ціле число від 1 до 99 включно; unitPrice — сума в гривнях, яка після обов'язкового округлення за правилом HALF_UP до 2 знаків після коми є строго більшою за 0.00 грн (перевірка "ціна &gt; 0" виконується після нормалізації/округлення); sku — непорожній рядок. За порушення будь-якої умови метод кидає IllegalArgumentException, а вміст кошика не змінюється.»</t>
        </is>
      </c>
      <c r="G29" s="22" t="inlineStr">
        <is>
          <t>Дрєпіна А. (ІТ)</t>
        </is>
      </c>
      <c r="H29" s="22" t="inlineStr">
        <is>
          <t>прийнято</t>
        </is>
      </c>
      <c r="I29" s="22" t="inlineStr">
        <is>
          <t>audit_drepina №7</t>
        </is>
      </c>
      <c r="J29" s="22" t="inlineStr">
        <is>
          <t>Інший дефект BL-10 (параметр name) — окремий рядок. Виправлення №28 і №29 правлять одне речення BL-10 — у SRS 1.1 вносяться одним записом, щоб не втратити «name».</t>
        </is>
      </c>
    </row>
    <row r="30">
      <c r="A30" s="22" t="n">
        <v>29</v>
      </c>
      <c r="B30" s="22" t="inlineStr">
        <is>
          <t>BL-10</t>
        </is>
      </c>
      <c r="C30" s="22" t="inlineStr">
        <is>
          <t>Повнота</t>
        </is>
      </c>
      <c r="D30" s="22" t="inlineStr">
        <is>
          <t>п. 4 — обумовлено всі допустимі й недопустимі вхідні дані</t>
        </is>
      </c>
      <c r="E30" s="22" t="inlineStr">
        <is>
          <t>«Допустимі значення: qty — …; unitPrice — …; sku — непорожній рядок» — для параметра name допустимі значення не задано (null, порожній рядок).</t>
        </is>
      </c>
      <c r="F30" s="22" t="inlineStr">
        <is>
          <t>«Допустимі значення: qty — ціле число від 1 до 99 включно; unitPrice — сума в гривнях, строго більша за 0; sku і name — непорожні рядки. …»</t>
        </is>
      </c>
      <c r="G30" s="22" t="inlineStr">
        <is>
          <t>Тимчак А. (ТА)</t>
        </is>
      </c>
      <c r="H30" s="22" t="inlineStr">
        <is>
          <t>прийнято</t>
        </is>
      </c>
      <c r="I30" s="22" t="inlineStr">
        <is>
          <t>audit_tymchak №15</t>
        </is>
      </c>
      <c r="J30" s="22" t="inlineStr">
        <is>
          <t>Правило «name — непорожній рядок» — нова вимога, потребує підтвердження замовником. Виправлення №28 і №29 правлять одне речення BL-10 — у SRS 1.1 вносяться одним записом.</t>
        </is>
      </c>
    </row>
    <row r="31">
      <c r="A31" s="22" t="n">
        <v>30</v>
      </c>
      <c r="B31" s="22" t="inlineStr">
        <is>
          <t>BL-30 ↔ BL-20</t>
        </is>
      </c>
      <c r="C31" s="22" t="inlineStr">
        <is>
          <t>Простежуваність</t>
        </is>
      </c>
      <c r="D31" s="22" t="inlineStr">
        <is>
          <t>п. 1 — вимоги унікальні й не повторюються за змістом</t>
        </is>
      </c>
      <c r="E31" s="22" t="inlineStr">
        <is>
          <t>BL-30 «Якщо в кошику вже є товар із таким самим артикулом, система не додає окремий рядок, а збільшує кількість у наявному рядку на вказане значення» повторює BL-20 «Повторне додавання позиції з тим самим sku не створює новий рядок, а збільшує кількість наявного рядка на qty».</t>
        </is>
      </c>
      <c r="F31" s="22" t="inlineStr">
        <is>
          <t>Залишити BL-20; BL-30 вилучити із записом у журналі змін (номер не перевикористовувати), посилання на BL-30 замінити на BL-20.</t>
        </is>
      </c>
      <c r="G31" s="22" t="inlineStr">
        <is>
          <t>Коротка К. (КТ), Дрєпіна А. (ІТ), Тимчак А. (ТА)</t>
        </is>
      </c>
      <c r="H31" s="22" t="inlineStr">
        <is>
          <t>прийнято</t>
        </is>
      </c>
      <c r="I31" s="22" t="inlineStr">
        <is>
          <t>audit_korotka №18; audit_drepina №8; audit_tymchak №16</t>
        </is>
      </c>
      <c r="J31" s="22" t="inlineStr">
        <is>
          <t>Усі троє пропонують вилучити BL-30, не перевикористовуючи номер.</t>
        </is>
      </c>
    </row>
    <row r="32">
      <c r="A32" s="22" t="n">
        <v>31</v>
      </c>
      <c r="B32" s="22" t="inlineStr">
        <is>
          <t>BL-40</t>
        </is>
      </c>
      <c r="C32" s="22" t="inlineStr">
        <is>
          <t>Простежуваність</t>
        </is>
      </c>
      <c r="D32" s="22" t="inlineStr">
        <is>
          <t>п. 4 — формат ID дозволяє розділяти вимогу без впливу на решту ID</t>
        </is>
      </c>
      <c r="E32" s="22" t="inlineStr">
        <is>
          <t>BL-40 під одним ID описує чотири методи: «Cart.removeItem(sku) …; Cart.changeQty(sku, qty) …; Cart.subtotal() …; Cart.itemCount() …» — окремий юніт-тест не можна простежити до окремої вимоги.</t>
        </is>
      </c>
      <c r="F32" s="22" t="inlineStr">
        <is>
          <t>BL-40: «Cart.removeItem(sku) видаляє рядок; для відсутнього sku кидає NoSuchElementException.» BL-42: «Cart.changeQty(sku, qty) встановлює нову кількість від 1 до 99 включно (інакше IllegalArgumentException); для відсутнього sku кидає NoSuchElementException.» BL-44: «Cart.subtotal() повертає суму добутків «ціна × кількість» за всіма рядками, округлену до копійок (HALF_UP); для порожнього кошика — 0.00.» BL-46: «Cart.itemCount() повертає суму кількостей усіх рядків; для порожнього кошика — 0.»</t>
        </is>
      </c>
      <c r="G32" s="22" t="inlineStr">
        <is>
          <t>Тимчак А. (ТА)</t>
        </is>
      </c>
      <c r="H32" s="22" t="inlineStr">
        <is>
          <t>відхилено після обговорення</t>
        </is>
      </c>
      <c r="I32" s="22" t="inlineStr">
        <is>
          <t>audit_tymchak №17</t>
        </is>
      </c>
      <c r="J32" s="22" t="inlineStr">
        <is>
          <t>Відхилено після обговорення (аркуш «Спірні», модерація КТ, 08.10.2026): п. 4 чек-листа простежуваності не порушено — формат ID із кроком 10 дозволяє розділити вимогу без впливу на решту ID.</t>
        </is>
      </c>
    </row>
    <row r="33">
      <c r="A33" s="22" t="n">
        <v>32</v>
      </c>
      <c r="B33" s="22" t="inlineStr">
        <is>
          <t>BL-50</t>
        </is>
      </c>
      <c r="C33" s="22" t="inlineStr">
        <is>
          <t>Однозначність</t>
        </is>
      </c>
      <c r="D33" s="22" t="inlineStr">
        <is>
          <t>п. 4 — вимога точна і допускає єдину інтерпретацію</t>
        </is>
      </c>
      <c r="E33" s="22" t="inlineStr">
        <is>
          <t>«при сумі від 2000 грн — 5 %, від 5000 грн — 10 %, від 10000 грн — 15 %» — діапазони перекриваються (сума 6000 грн одночасно «від 2000» і «від 5000»), межі не позначено як включні чи виключні.</t>
        </is>
      </c>
      <c r="F33" s="22" t="inlineStr">
        <is>
          <t>«… обчислює знижку за обсяг: subtotal &lt; 2000 — 0 %; 2000 ≤ subtotal &lt; 5000 — 5 %; 5000 ≤ subtotal &lt; 10000 — 10 %; subtotal ≥ 10000 — 15 %; …»</t>
        </is>
      </c>
      <c r="G33" s="22" t="inlineStr">
        <is>
          <t>Тимчак А. (ТА)</t>
        </is>
      </c>
      <c r="H33" s="22" t="inlineStr">
        <is>
          <t>відхилено після обговорення</t>
        </is>
      </c>
      <c r="I33" s="22" t="inlineStr">
        <is>
          <t>audit_tymchak №18</t>
        </is>
      </c>
      <c r="J33" s="22" t="inlineStr">
        <is>
          <t>Відхилено після обговорення (аркуш «Спірні», модерація КТ, 08.10.2026): «від N» — нижня межа включно, застосовується лише найвищий рівень (US-06); єдина інтерпретація існує.</t>
        </is>
      </c>
    </row>
    <row r="34">
      <c r="A34" s="22" t="n">
        <v>33</v>
      </c>
      <c r="B34" s="22" t="inlineStr">
        <is>
          <t>BL-60</t>
        </is>
      </c>
      <c r="C34" s="22" t="inlineStr">
        <is>
          <t>Однозначність</t>
        </is>
      </c>
      <c r="D34" s="22" t="inlineStr">
        <is>
          <t>п. 4 — вимога точна і допускає єдину інтерпретацію</t>
        </is>
      </c>
      <c r="E34" s="22" t="inlineStr">
        <is>
          <t>«shippingFee(subtotalAfterDiscount) … якщо сума після знижки не менша за 1500 грн» — не визначено, яку знижку віднімають: лише за обсягом (BL-50) чи також за промокодом (BL-80).</t>
        </is>
      </c>
      <c r="F34" s="22" t="inlineStr">
        <is>
          <t>«… де subtotalAfterDiscount = subtotal − знижка за обсяг (BL-50) − знижка за промокодом (BL-80); повертає 0.00 грн, якщо subtotalAfterDiscount не менша за 1500 грн, інакше 120.00 грн. …»</t>
        </is>
      </c>
      <c r="G34" s="22" t="inlineStr">
        <is>
          <t>Тимчак А. (ТА)</t>
        </is>
      </c>
      <c r="H34" s="22" t="inlineStr">
        <is>
          <t>прийнято</t>
        </is>
      </c>
      <c r="I34" s="22" t="inlineStr">
        <is>
          <t>audit_tymchak №19</t>
        </is>
      </c>
      <c r="J34" s="22" t="inlineStr">
        <is>
          <t>Пов'язано з рядком F-110 ↔ BL-60 (база порогу). Потребує підтвердження замовником.</t>
        </is>
      </c>
    </row>
    <row r="35">
      <c r="A35" s="22" t="n">
        <v>34</v>
      </c>
      <c r="B35" s="22" t="inlineStr">
        <is>
          <t>BL-70</t>
        </is>
      </c>
      <c r="C35" s="22" t="inlineStr">
        <is>
          <t>Тестопридатність</t>
        </is>
      </c>
      <c r="D35" s="22" t="inlineStr">
        <is>
          <t>практичний тест: тест-кейс з однозначним результатом «пройдено / не пройдено»</t>
        </is>
      </c>
      <c r="E35" s="22" t="inlineStr">
        <is>
          <t>«Результат містить ознаку придатності та причину відмови» — можливі причини відмови не перелічено, тож тест не може перевірити, що повернуто правильну причину.</t>
        </is>
      </c>
      <c r="F35" s="22" t="inlineStr">
        <is>
          <t>«… Результат містить ознаку придатності та причину відмови — по одній на кожну умову: INVALID_LENGTH (довжина коду поза межами 6–10 символів), EXPIRED (дата закінчення дії раніша за today), ALREADY_USED (одноразовий код уже використано), INVALID_PERCENT (для типу «відсоток» значення поза межами 1–50 включно), INVALID_AMOUNT (для типу «фіксована сума» значення не більше 0 або перевищує subtotal мінус знижка за обсяг (BL-50)); якщо не виконано кілька умов, повертається причина першої з них у цьому порядку; для придатного коду причина порожня.»</t>
        </is>
      </c>
      <c r="G35" s="22" t="inlineStr">
        <is>
          <t>Тимчак А. (ТА)</t>
        </is>
      </c>
      <c r="H35" s="22" t="inlineStr">
        <is>
          <t>прийнято</t>
        </is>
      </c>
      <c r="I35" s="22" t="inlineStr">
        <is>
          <t>audit_tymchak №20</t>
        </is>
      </c>
      <c r="J35" s="22" t="inlineStr">
        <is>
          <t>Переписано за рішенням команди (SCRUM-55, аркуш «Спірні»): прибрано NOT_FOUND (у SRS немає реєстру кодів), по одній причині на кожну з п'яти умов BL-70. Назви причин і порядок перевірки — потребує підтвердження замовником.</t>
        </is>
      </c>
    </row>
    <row r="36">
      <c r="A36" s="22" t="n">
        <v>35</v>
      </c>
      <c r="B36" s="22" t="inlineStr">
        <is>
          <t>BL-80</t>
        </is>
      </c>
      <c r="C36" s="22" t="inlineStr">
        <is>
          <t>Здійсненність</t>
        </is>
      </c>
      <c r="D36" s="22" t="inlineStr">
        <is>
          <t>виконання не залежить від систем, які продукт не контролює</t>
        </is>
      </c>
      <c r="E36" s="22" t="inlineStr">
        <is>
          <t>«система перевіряє, що цей код не було використано у жодному іншому інтернет-магазині, зокрема сторонніх» — модуль не має доступу до даних сторонніх магазинів; до того ж за 2.3 бібліотека «без зовнішніх залежностей».</t>
        </is>
      </c>
      <c r="F36" s="22" t="inlineStr">
        <is>
          <t>«Перед застосуванням одноразового коду метод перевіряє, що код не позначений як використаний у ШопЛайн; використаний код відхиляється (IllegalArgumentException із причиною відмови за BL-70).»</t>
        </is>
      </c>
      <c r="G36" s="22" t="inlineStr">
        <is>
          <t>Дрєпіна А. (ІТ), Тимчак А. (ТА)</t>
        </is>
      </c>
      <c r="H36" s="22" t="inlineStr">
        <is>
          <t>прийнято</t>
        </is>
      </c>
      <c r="I36" s="22" t="inlineStr">
        <is>
          <t>audit_drepina №11; audit_tymchak №21</t>
        </is>
      </c>
      <c r="J36" s="22" t="inlineStr">
        <is>
          <t>Виправлення збігаються (перевірка лише в межах ШопЛайн, IllegalArgumentException). Виправлення звужує правило замовника (перевірка лише в межах ШопЛайн) — потребує підтвердження замовником.</t>
        </is>
      </c>
    </row>
    <row r="37">
      <c r="A37" s="22" t="n">
        <v>36</v>
      </c>
      <c r="B37" s="22" t="inlineStr">
        <is>
          <t>BL-70, BL-80 (немає вимоги)</t>
        </is>
      </c>
      <c r="C37" s="22" t="inlineStr">
        <is>
          <t>Повнота</t>
        </is>
      </c>
      <c r="D37" s="22" t="inlineStr">
        <is>
          <t>п. 2 — усі необхідні вимоги присутні</t>
        </is>
      </c>
      <c r="E37" s="22" t="inlineStr">
        <is>
          <t>BL-70: фіксована сума «не перевищує subtotal», BL-50: знижка за обсяг — до 15 % від subtotal; правила сумісного застосування знижок немає, тож сума до оплати може бути від'ємною (subtotal 2000, знижка за обсяг 100, промокод 2000 → −100).</t>
        </is>
      </c>
      <c r="F37" s="22" t="inlineStr">
        <is>
          <t>Обмежити фіксований промокод у BL-70: «… для типу «фіксована сума» значення більше 0 і не перевищує subtotal мінус знижка за обсяг (BL-50) …». Тоді сума до оплати не може бути від'ємною: відсотковий промокод — не більше 50 %, знижка за обсяг — не більше 15 %. Нова вимога BL-90 не потрібна.</t>
        </is>
      </c>
      <c r="G37" s="22" t="inlineStr">
        <is>
          <t>Тимчак А. (ТА)</t>
        </is>
      </c>
      <c r="H37" s="22" t="inlineStr">
        <is>
          <t>прийнято</t>
        </is>
      </c>
      <c r="I37" s="22" t="inlineStr">
        <is>
          <t>audit_tymchak №22</t>
        </is>
      </c>
      <c r="J37" s="22" t="inlineStr">
        <is>
          <t>Переписано за рішенням команди (SCRUM-55, аркуш «Спірні»): рішення дозволило два варіанти (обмеження в BL-70 або BL-90 лише з обрізанням до 0.00 і без доставки); ТА (Тимчак А.) обрала обмеження в BL-70; вартість доставки не зачіпається. Пов'язано з рядком №34 (причина INVALID_AMOUNT). Потребує підтвердження замовником.</t>
        </is>
      </c>
    </row>
  </sheetData>
  <autoFilter ref="A1:J37"/>
  <mergeCells count="1">
    <mergeCell ref="L13:M20"/>
  </mergeCells>
  <conditionalFormatting sqref="A2:J37">
    <cfRule type="expression" priority="1" dxfId="0">
      <formula>$H2="спірне"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62" customWidth="1" min="3" max="3"/>
    <col width="22" customWidth="1" min="4" max="4"/>
    <col width="20" customWidth="1" min="5" max="5"/>
    <col width="52" customWidth="1" min="6" max="6"/>
  </cols>
  <sheetData>
    <row r="1">
      <c r="A1" s="5" t="inlineStr">
        <is>
          <t>Рядок реєстру</t>
        </is>
      </c>
      <c r="B1" s="5" t="inlineStr">
        <is>
          <t>Аргумент «за»</t>
        </is>
      </c>
      <c r="C1" s="5" t="inlineStr">
        <is>
          <t>Аргумент «проти»</t>
        </is>
      </c>
      <c r="D1" s="5" t="inlineStr">
        <is>
          <t>Рішення</t>
        </is>
      </c>
      <c r="E1" s="5" t="inlineStr">
        <is>
          <t>Хто вирішив / дата</t>
        </is>
      </c>
      <c r="F1" s="5" t="inlineStr">
        <is>
          <t>Пропозиція адвоката (чернетка до обговорення)</t>
        </is>
      </c>
    </row>
    <row r="2">
      <c r="A2" s="7" t="inlineStr">
        <is>
          <t>№8 · F-50 · Тестопридатність
Автор: Тимчак А. (ТА)
Позначено ТА як спірне</t>
        </is>
      </c>
      <c r="B2" s="7" t="inlineStr">
        <is>
          <t>F-50: «система показує текстове повідомлення про відсутність товарів» — текст не заданий. На demo виводиться «There are no products found.» (звірено 08.10.2026), але зі SRS цього не випливає: тест-кейс і розробник можуть очікувати різне формулювання (практичний тест чек-листа тестопридатності).</t>
        </is>
      </c>
      <c r="C2" s="7" t="inlineStr">
        <is>
          <t>Практичний тест тестопридатності проходить: результат «з'являється текстове повідомлення про відсутність товарів» перевіряється за наявністю повідомлення, число чи умова не відсутні. Точне формулювання — деталь дизайну. Виправлення лише називає текст і не додає ні числа, ні умови, ні способу спостереження, тобто за правилом «додає число — тестопридатність; уточнює об'єкт — однозначність» критерій обрано непослідовно: той самий випадок у №20 віднесено до однозначності.</t>
        </is>
      </c>
      <c r="D2" s="7" t="inlineStr">
        <is>
          <t>Відхилено після обговорення: наявність повідомлення про відсутність товарів перевіряється однозначно, порушеного пункту чек-листа немає; точний текст — деталь дизайну. Рішення однакове з №20.</t>
        </is>
      </c>
      <c r="E2" s="7" t="inlineStr">
        <is>
          <t>Команда (модерація: Коротка К., КТ), 08.10.2026</t>
        </is>
      </c>
      <c r="F2" s="7" t="inlineStr">
        <is>
          <t>Відхилити як необґрунтований (немає порушеного пункту чек-листа), якщо автор не покаже, що без точного тексту результат «пройдено / не пройдено» неоднозначний. Якщо команда прийме — один критерій для №8 і №20.</t>
        </is>
      </c>
    </row>
    <row r="3">
      <c r="A3" s="7" t="inlineStr">
        <is>
          <t>№13 · F-110 ↔ розд. 2.3, п. 3 · Несуперечливість
Автор: Тимчак А. (ТА)
Позначено ТА як спірне</t>
        </is>
      </c>
      <c r="B3" s="7" t="inlineStr">
        <is>
          <t>Пряма суперечність: F-110 вимагає в підсумку замовлення «знижку за обсяг, знижку за промокодом і вартість доставки», а 2.3 каже, що модуль програми лояльності «в поточній версії ще не інтегрований в інтерфейс». Те саме зафіксовано в ризику 3 плану тестування. Порушено п. 2 чек-листа несуперечливості.</t>
        </is>
      </c>
      <c r="C3" s="7" t="inlineStr">
        <is>
          <t>Інші аудитори розділу 3 цього не позначили. Виправлення конфліктує з №12: воно прибирає знижки з підсумку, але лишає вартість доставки, правило якої (BL-60) теж належить неінтегрованому модулю, тож виправлення внутрішньо неповне. Вступ SRS: документ описує «поточну версію продукту та вимоги до нової функції», тож F-110 може описувати цільову поведінку нової функції, а не поточний UI. Тоді суперечності немає, є нечітка межа «поточне / нове».</t>
        </is>
      </c>
      <c r="D3" s="7" t="inlineStr">
        <is>
          <t>Прийнято (несуперечливість, п. 2). Окремо не виправляється: F-110 правиться одним рішенням разом із №12 і №33 — знижки й доставка в підсумку замовлення позначаються як вимога нової функції. Потребує підтвердження замовником.</t>
        </is>
      </c>
      <c r="E3" s="7" t="inlineStr">
        <is>
          <t>Команда (модерація: Коротка К., КТ), 08.10.2026</t>
        </is>
      </c>
      <c r="F3" s="7" t="inlineStr">
        <is>
          <t>Прийняти як дефект, але не виправляти окремо від №12: ухвалити одне рішення для F-110. Варіант А — F-110 описує лише поточний UI (сума товарів), а знижки й доставка посилаються на розділ 5. Варіант Б — знижки й доставка в UI позначені як вимога нової функції. Потребує підтвердження замовником.</t>
        </is>
      </c>
    </row>
    <row r="4">
      <c r="A4" s="7" t="inlineStr">
        <is>
          <t>№16 · GUI-10 · Повнота
Автор: Коротка К. (КТ)
Позначено ТА як спірне</t>
        </is>
      </c>
      <c r="B4" s="7" t="inlineStr">
        <is>
          <t>GUI-10 називає «перемикач мови інтерфейсу», але не вказує, які мови доступні й яка мова за замовчуванням; тест не знає, що перевіряти (п. 1 чек-листа повноти). 2.2 фіксує лише, що інтерфейс demo англійською.</t>
        </is>
      </c>
      <c r="C4" s="7" t="inlineStr">
        <is>
          <t>Знайшов один автор із середньою впевненістю; другий аудитор розділу 4 не знайшов. Перелік DE, EL, EN, ES, FR, NL, TR узято з demo (звірено 08.10.2026), а не зі SRS. В ньому немає української, хоча замовник — українська компанія (Житомир), а план тестування (тип 14) спирається на українські формати. Виправлення фіксує набір мов, який може не відповідати потребам замовника: це рішення замовника, а не дефект тексту.</t>
        </is>
      </c>
      <c r="D4" s="7" t="inlineStr">
        <is>
          <t>Відхилено після обговорення як дефект SRS: перелік мов узято з demo, а не зі SRS, і він може не відповідати потребам замовника. Винесено питанням замовнику на демо: які мови підтримує перемикач, чи є українська, яка мова за замовчуванням.</t>
        </is>
      </c>
      <c r="E4" s="7" t="inlineStr">
        <is>
          <t>Команда (модерація: Коротка К., КТ), 08.10.2026</t>
        </is>
      </c>
      <c r="F4" s="7" t="inlineStr">
        <is>
          <t>Прийняти лише як питання замовнику: «які мови підтримує перемикач, чи є українська і яка мова за замовчуванням». Конкретний набір мов у SRS 1.1 не вносити без підтвердження замовником. Інакше відхилити.</t>
        </is>
      </c>
    </row>
    <row r="5">
      <c r="A5" s="7" t="inlineStr">
        <is>
          <t>№20 · GUI-70 · Однозначність
Автор: Коротка К. (КТ)
Позначено ТА як спірне</t>
        </is>
      </c>
      <c r="B5" s="7" t="inlineStr">
        <is>
          <t>GUI-70: «Порожній кошик відображає текстове повідомлення замість таблиці» — текст не заданий; тест-кейс не має точного очікуваного результату. Авторка пропонує «The cart is empty».</t>
        </is>
      </c>
      <c r="C5" s="7" t="inlineStr">
        <is>
          <t>Те саме, що №8: перевірка наявності повідомлення замість таблиці однозначна, формулювання тексту — дизайн. Авторка сама вказала середню впевненість, другий аудитор розділу 4 не знайшов. Запропонований текст на demo не звірено. Критерій (однозначність) відрізняється від №8 (тестопридатність) для того самого типу дефекту.</t>
        </is>
      </c>
      <c r="D5" s="7" t="inlineStr">
        <is>
          <t>Відхилено після обговорення: як і №8, наявність повідомлення замість таблиці перевіряється однозначно; точний текст — деталь дизайну.</t>
        </is>
      </c>
      <c r="E5" s="7" t="inlineStr">
        <is>
          <t>Команда (модерація: Коротка К., КТ), 08.10.2026</t>
        </is>
      </c>
      <c r="F5" s="7" t="inlineStr">
        <is>
          <t>Розглядати разом із №8 і ухвалити однакове рішення: відхилити, або прийняти обидва під одним критерієм. Текст повідомлення — потребує підтвердження замовником.</t>
        </is>
      </c>
    </row>
    <row r="6">
      <c r="A6" s="7" t="inlineStr">
        <is>
          <t>№31 · BL-40 · Простежуваність
Автор: Тимчак А. (ТА)
Позначено ТА як спірне</t>
        </is>
      </c>
      <c r="B6" s="7" t="inlineStr">
        <is>
          <t>BL-40 під одним ID описує чотири методи (removeItem, changeQty, subtotal, itemCount). Юніт-тест (спринт 4) і матриця простежуваності (спринт 5) не можуть послатися на окрему вимогу.</t>
        </is>
      </c>
      <c r="C6" s="7" t="inlineStr">
        <is>
          <t>Названий п. 4 чек-листа простежуваності перевіряє, чи формат ID дозволяє розділяти вимогу без впливу на решту ID; формат із кроком 10 це дозволяє, тож порушення цього пункту немає. Складеність вимоги — це питання атомарності, якого в шести чек-листах немає; пункти 1 і 5 стосуються дублів і перекриття. Другий аудитор розділу 5 не знайшов. Виправлення створює три нові ID (BL-42, BL-44, BL-46) і змінює структуру розділу, не усуваючи порушення названого пункту.</t>
        </is>
      </c>
      <c r="D6" s="7" t="inlineStr">
        <is>
          <t>Відхилено після обговорення: п. 4 чек-листа простежуваності не порушено — формат ID із кроком 10 дозволяє розділити вимогу без впливу на решту ID; інших порушених пунктів не названо.</t>
        </is>
      </c>
      <c r="E6" s="7" t="inlineStr">
        <is>
          <t>Команда (модерація: Коротка К., КТ), 08.10.2026</t>
        </is>
      </c>
      <c r="F6" s="7" t="inlineStr">
        <is>
          <t>Відхилити: названий пункт чек-листа не порушено. Якщо команда хоче залишити рядок, потрібен інший порушений пункт; без нього рядок не рахувати до нормативу.</t>
        </is>
      </c>
    </row>
    <row r="7">
      <c r="A7" s="7" t="inlineStr">
        <is>
          <t>№12 F-110 ↔ BL-60 (несуперечливість) + №33 BL-60 (однозначність)
Автори: усі четверо / Тимчак А. (ТА)
Додано адвокатом: різні виправлення одного питання</t>
        </is>
      </c>
      <c r="B7" s="7" t="inlineStr">
        <is>
          <t>Суперечність порогу безкоштовної доставки підтверджують усі четверо аудиторів (№12), а BL-60 не уточнює, яка саме знижка віднімається (№33). Обидва дефекти справжні, виправлення потрібні.</t>
        </is>
      </c>
      <c r="C7" s="7" t="inlineStr">
        <is>
          <t>Автори пропонують різну базу порогу: після знижки за обсяг (Горбонос, Дрєпіна) або після всіх знижок (Тимчак, Коротка). Беклог спринта 1 схиляє до другого варіанту (але не доводить його): US-08 «поріг рахується від суми після знижок, а не до них», US-09 «сума кошика після знижок перевищує поріг». Поріг 1500 і 2000 грн — теж припущення. US-09 каже «перевищує» (строго більше), BL-60 — «не менша за» (більше або дорівнює); у US-09 випадок «сума точно дорівнює порогу» названо лише тестовим, тож межа не узгоджена. З іншого боку, BL-60 називає параметр subtotalAfterDiscount у класі DiscountCalculator, який рахує лише знижку за обсяг (промокод — окремий клас PromoCodeValidator), тож буквальне читання BL-60 — після знижки за обсяг: саме ця неоднозначність і є дефектом №33. Прийняті як є, обидва рядки дадуть SRS 1.1 дві різні бази порогу.</t>
        </is>
      </c>
      <c r="D7" s="7" t="inlineStr">
        <is>
          <t>Прийнято обидва (№12 — несуперечливість, №33 — однозначність). Одне рішення для F-110 і BL-60: база порогу — сума після знижки за обсяг і знижки за промокодом, поріг 1500 грн, межа «не менша за». Потребує підтвердження замовником.</t>
        </is>
      </c>
      <c r="E7" s="7" t="inlineStr">
        <is>
          <t>Команда (модерація: Коротка К., КТ), 08.10.2026</t>
        </is>
      </c>
      <c r="F7" s="7" t="inlineStr">
        <is>
          <t>Об'єднати №12 і №33 в одне рішення: база порогу = сума після знижки за обсяг і знижки за промокодом (так схиляє беклог US-08/US-09), поріг 1500 грн за BL-60, межа «не менша за». Однаково відобразити в F-110 і BL-60. База, поріг і межа — потребують підтвердження замовником.</t>
        </is>
      </c>
    </row>
    <row r="8">
      <c r="A8" s="7" t="inlineStr">
        <is>
          <t>№32 · BL-50 · Однозначність
Автор: Тимчак А. (ТА)
Додано адвокатом</t>
        </is>
      </c>
      <c r="B8" s="7" t="inlineStr">
        <is>
          <t>BL-50: «при сумі від 2000 грн — 5 %, від 5000 грн — 10 %, від 10000 грн — 15 %». Діапазони формально перекриваються (6000 грн одночасно «від 2000» і «від 5000»), межі не названо включними чи виключними.</t>
        </is>
      </c>
      <c r="C8" s="7" t="inlineStr">
        <is>
          <t>«Від N» означає нижню межу включно, а застосування лише найвищого рівня випливає з беклогу: US-06 «межі трьох рівнів суми (тест на ±1 грн від порогу), застосування лише найвищого рівня». Отже, є єдина інтерпретація і п. 4 чек-листа однозначності не порушено. Виправлення лише переписує ті самі правила нерівностями.</t>
        </is>
      </c>
      <c r="D8" s="7" t="inlineStr">
        <is>
          <t>Відхилено після обговорення: «від N» — нижня межа включно, застосовується лише найвищий рівень (US-06); єдина інтерпретація існує, п. 4 не порушено.</t>
        </is>
      </c>
      <c r="E8" s="7" t="inlineStr">
        <is>
          <t>Команда (модерація: Коротка К., КТ), 08.10.2026</t>
        </is>
      </c>
      <c r="F8" s="7" t="inlineStr">
        <is>
          <t>Відхилити як необґрунтований, або перевести в рекомендацію (запис нерівностями) без підрахунку до нормативу.</t>
        </is>
      </c>
    </row>
    <row r="9">
      <c r="A9" s="7" t="inlineStr">
        <is>
          <t>№34 · BL-70 · Тестопридатність
Автор: Тимчак А. (ТА)
Додано адвокатом</t>
        </is>
      </c>
      <c r="B9" s="7" t="inlineStr">
        <is>
          <t>BL-70: «Результат містить ознаку придатності та причину відмови» — перелік причин не заданий; тест не може перевірити, яку саме причину повернуто.</t>
        </is>
      </c>
      <c r="C9" s="7" t="inlineStr">
        <is>
          <t>Причини однозначно виводяться з п'яти умов самого BL-70 (довжина, дата, одноразовість, відсоток, фіксована сума). Виправлення додає значення NOT_FOUND («код не існує»), якого в SRS немає: validate(code, today, subtotal) не має реєстру кодів, тож це нова поведінка без основи, тобто виправлення породжує новий дефект. Воно також змінює тип «причини» (текст → перелік кодів) без позначки «потребує підтвердження замовником».</t>
        </is>
      </c>
      <c r="D9" s="7" t="inlineStr">
        <is>
          <t>Прийнято (тестопридатність). Виправлення переписує ТА перед SRS 1.1: прибрати NOT_FOUND, по одній причині на кожну умову BL-70, позначка «потребує підтвердження замовником».</t>
        </is>
      </c>
      <c r="E9" s="7" t="inlineStr">
        <is>
          <t>Команда (модерація: Коротка К., КТ), 08.10.2026</t>
        </is>
      </c>
      <c r="F9" s="7" t="inlineStr">
        <is>
          <t>Прийняти дефект, але переписати виправлення: прибрати NOT_FOUND, зв'язати по одній причині з кожною умовою BL-70, позначити «потребує підтвердження замовником».</t>
        </is>
      </c>
    </row>
    <row r="10">
      <c r="A10" s="7" t="inlineStr">
        <is>
          <t>№36 · BL-70, BL-80 (немає вимоги) · Повнота
Автор: Тимчак А. (ТА)
Додано адвокатом</t>
        </is>
      </c>
      <c r="B10" s="7" t="inlineStr">
        <is>
          <t>Реальна прогалина (п. 2 чек-листа повноти): BL-70 дозволяє фіксований промокод до subtotal, а BL-50 дає знижку за обсяг окремо. Для subtotal 2000 грн: 2000 − 100 (5 %) − 2000 (промокод) = −100 грн. Правил сумісного застосування знижок немає.</t>
        </is>
      </c>
      <c r="C10" s="7" t="inlineStr">
        <is>
          <t>Виправлення додає нову вимогу BL-90, яка вирішує бізнес-питання (обрізання до 0.00) без позначки «потребує підтвердження замовником»: колонка «Примітка» порожня. Воно додає до суми вартість доставки, чого немає в BL-60 (shippingFee лише повертає вартість) — це вихід за межі дефекту. Методу «сума до оплати» в модулі немає, тож BL-90 вимагає нового API. Знайшов один автор. Простіше виправлення: обмежити фіксований промокод у BL-70 значенням subtotal мінус знижка за обсяг.</t>
        </is>
      </c>
      <c r="D10" s="7" t="inlineStr">
        <is>
          <t>Прийнято (повнота, п. 2). Виправлення переписує ТА перед SRS 1.1: обмежити фіксований промокод у BL-70 (не більше subtotal мінус знижка за обсяг) або BL-90 лише з обрізанням до 0.00 і без доставки; потребує підтвердження замовником.</t>
        </is>
      </c>
      <c r="E10" s="7" t="inlineStr">
        <is>
          <t>Команда (модерація: Коротка К., КТ), 08.10.2026</t>
        </is>
      </c>
      <c r="F10" s="7" t="inlineStr">
        <is>
          <t>Прийняти дефект, але переписати виправлення: або обмеження в BL-70 (фіксована сума не більша за subtotal мінус знижка за обсяг), або BL-90 лише з обрізанням до 0.00 і без доставки. Потребує підтвердження замовником.</t>
        </is>
      </c>
    </row>
    <row r="12" ht="32" customHeight="1">
      <c r="A12" s="10" t="inlineStr">
        <is>
          <t>ШопЛайн · Спринт 2 · 08.10.2026 · Аркуш веде: Горбонос О. (СМ), «адвокат замовника».</t>
        </is>
      </c>
    </row>
    <row r="13" ht="32" customHeight="1">
      <c r="A13" s="10" t="inlineStr">
        <is>
          <t>Рядки №8, 13, 16, 20, 31 позначила ТА як «спірне»; решту додано адвокатом за результатами перевірки реєстру (36 рядків) проти SRS 1.0 і беклогу спринта 1.</t>
        </is>
      </c>
    </row>
    <row r="14" ht="32" customHeight="1">
      <c r="A14" s="10" t="inlineStr">
        <is>
          <t>Стовпці «Рішення» і «Хто вирішив / дата» заповнюються після обговорення командою за модерації КТ; стовпець «Пропозиція адвоката» — чернетка, не рішення. Необґрунтовані рядки позначаються «відхилено після обговорення» і лишаються в «Реєстрі» зі статусом.</t>
        </is>
      </c>
    </row>
  </sheetData>
  <mergeCells count="3">
    <mergeCell ref="A13:F13"/>
    <mergeCell ref="A14:F1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2026-10-01T11:58:50Z</dcterms:created>
  <dcterms:modified xmlns:dcterms="http://purl.org/dc/terms/" xmlns:xsi="http://www.w3.org/2001/XMLSchema-instance" xsi:type="dcterms:W3CDTF">2026-10-13T18:05:03Z</dcterms:modified>
</cp:coreProperties>
</file>