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Про файл" sheetId="1" state="visible" r:id="rId1"/>
    <sheet xmlns:r="http://schemas.openxmlformats.org/officeDocument/2006/relationships" name="Coverage" sheetId="2" state="visible" r:id="rId2"/>
  </sheets>
  <definedNames>
    <definedName name="_xlnm._FilterDatabase" localSheetId="1" hidden="1">'Coverage'!$A$1:$G$43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" t="inlineStr">
        <is>
          <t>Поле</t>
        </is>
      </c>
      <c r="B1" s="1" t="inlineStr">
        <is>
          <t>Значення</t>
        </is>
      </c>
    </row>
    <row r="2">
      <c r="A2" s="2" t="inlineStr">
        <is>
          <t>Артефакт</t>
        </is>
      </c>
      <c r="B2" s="2" t="inlineStr">
        <is>
          <t>Набір тест-кейсів (test-cases.xlsx). Цей стан файла: аркуш «Coverage» — перелік вимог виправленої SRS до покриття</t>
        </is>
      </c>
    </row>
    <row r="3">
      <c r="A3" s="2" t="inlineStr">
        <is>
          <t>Продукт</t>
        </is>
      </c>
      <c r="B3" s="2" t="inlineStr">
        <is>
          <t>№1 «ШопЛайн»</t>
        </is>
      </c>
    </row>
    <row r="4">
      <c r="A4" s="2" t="inlineStr">
        <is>
          <t>Спринт</t>
        </is>
      </c>
      <c r="B4" s="2" t="inlineStr">
        <is>
          <t>3 «Тест-кейси та звіти про дефекти» (22–29 жовтня 2026)</t>
        </is>
      </c>
    </row>
    <row r="5">
      <c r="A5" s="2" t="inlineStr">
        <is>
          <t>Дата</t>
        </is>
      </c>
      <c r="B5" s="2" t="inlineStr">
        <is>
          <t>24.10.2026</t>
        </is>
      </c>
    </row>
    <row r="6">
      <c r="A6" s="2" t="inlineStr">
        <is>
          <t>Автор аркуша «Coverage»</t>
        </is>
      </c>
      <c r="B6" s="2" t="inlineStr">
        <is>
          <t>Коротка К. (ТА) — єдина власниця аркуша</t>
        </is>
      </c>
    </row>
    <row r="7">
      <c r="A7" s="2" t="inlineStr">
        <is>
          <t>Джерело вимог</t>
        </is>
      </c>
      <c r="B7" s="2" t="inlineStr">
        <is>
          <t>docs/sprint2/SRS-1.1.md (SRS 1.1, виправлена у спринті 2); ID узято лише з неї</t>
        </is>
      </c>
    </row>
    <row r="8">
      <c r="A8" s="2" t="inlineStr">
        <is>
          <t>Задача Jira</t>
        </is>
      </c>
      <c r="B8" s="2" t="inlineStr">
        <is>
          <t>SCRUM-106 «[ТА] Перелік вимог з SRS і аркуш Coverage»</t>
        </is>
      </c>
    </row>
    <row r="9">
      <c r="A9" s="2" t="inlineStr">
        <is>
          <t>Стовпець «Діапазон»</t>
        </is>
      </c>
      <c r="B9" s="2" t="inlineStr">
        <is>
          <t>«так» — у вимозі є числові межі вхідних даних, для яких потрібні граничні значення (SCRUM-108); «ні» — немає; «—» — вимогу вилучено</t>
        </is>
      </c>
    </row>
    <row r="10">
      <c r="A10" s="2" t="inlineStr">
        <is>
          <t>Стовпець «TC-…»</t>
        </is>
      </c>
      <c r="B10" s="2" t="inlineStr">
        <is>
          <t>Заповнюється у SCRUM-110 номерами кейсів КТ, ІТ, СМ і ТА; для непокритої вимоги — «не покрито: причина»</t>
        </is>
      </c>
    </row>
    <row r="11">
      <c r="A11" s="2" t="inlineStr">
        <is>
          <t>Непокриті вимоги</t>
        </is>
      </c>
      <c r="B11" s="2" t="inlineStr">
        <is>
          <t>Позначки «Пропозиція ТА» в «Примітці» — пропозиція; рішення про непокриті BL- і нефункціональні вимоги ухвалює КТ (SCRUM-100). Усі F- і GUI-вимоги покриваються обов'язково (методичка, п. 4.4)</t>
        </is>
      </c>
    </row>
    <row r="12">
      <c r="A12" s="2" t="inlineStr">
        <is>
          <t>Наступні аркуші</t>
        </is>
      </c>
      <c r="B12" s="2" t="inlineStr">
        <is>
          <t>«Test cases» — SCRUM-107 (ТА); «Review» — СМ (SCRUM-118)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10" customWidth="1" min="3" max="3"/>
    <col width="11" customWidth="1" min="4" max="4"/>
    <col width="10" customWidth="1" min="5" max="5"/>
    <col width="16" customWidth="1" min="6" max="6"/>
    <col width="70" customWidth="1" min="7" max="7"/>
    <col width="3" customWidth="1" min="8" max="8"/>
    <col width="34" customWidth="1" min="9" max="9"/>
    <col width="11" customWidth="1" min="10" max="10"/>
  </cols>
  <sheetData>
    <row r="1">
      <c r="A1" s="3" t="inlineStr">
        <is>
          <t>ID вимоги</t>
        </is>
      </c>
      <c r="B1" s="3" t="inlineStr">
        <is>
          <t>Формулювання (скорочено)</t>
        </is>
      </c>
      <c r="C1" s="3" t="inlineStr">
        <is>
          <t>Тип</t>
        </is>
      </c>
      <c r="D1" s="3" t="inlineStr">
        <is>
          <t>Пріоритет (SRS 1.1)</t>
        </is>
      </c>
      <c r="E1" s="3" t="inlineStr">
        <is>
          <t>Діапазон</t>
        </is>
      </c>
      <c r="F1" s="3" t="inlineStr">
        <is>
          <t>TC-…</t>
        </is>
      </c>
      <c r="G1" s="3" t="inlineStr">
        <is>
          <t>Примітка</t>
        </is>
      </c>
      <c r="I1" s="1" t="inlineStr">
        <is>
          <t>Зведення</t>
        </is>
      </c>
      <c r="J1" s="1" t="inlineStr">
        <is>
          <t>Кількість</t>
        </is>
      </c>
    </row>
    <row r="2">
      <c r="A2" s="2" t="inlineStr">
        <is>
          <t>F-10</t>
        </is>
      </c>
      <c r="B2" s="2" t="inlineStr">
        <is>
          <t>Реєстрація покупця: обов'язкові поля, правила пароля, повідомлення про вже зареєстрований email</t>
        </is>
      </c>
      <c r="C2" s="2" t="inlineStr">
        <is>
          <t>F</t>
        </is>
      </c>
      <c r="D2" s="2" t="inlineStr">
        <is>
          <t>High</t>
        </is>
      </c>
      <c r="E2" s="2" t="inlineStr">
        <is>
          <t>так</t>
        </is>
      </c>
      <c r="F2" s="2" t="inlineStr"/>
      <c r="G2" s="2" t="inlineStr">
        <is>
          <t>Діапазон: пароль — не менше 8 символів (граничні 7 / 8). Кандидат для SCRUM-108.</t>
        </is>
      </c>
      <c r="I2" s="2" t="inlineStr">
        <is>
          <t>F</t>
        </is>
      </c>
      <c r="J2" s="2">
        <f>COUNTIF($C$2:$C$43,"F")</f>
        <v/>
      </c>
    </row>
    <row r="3">
      <c r="A3" s="2" t="inlineStr">
        <is>
          <t>F-20</t>
        </is>
      </c>
      <c r="B3" s="2" t="inlineStr">
        <is>
          <t>Вхід за email і паролем; перехід у кабінет /account; повідомлення «Invalid email or password»</t>
        </is>
      </c>
      <c r="C3" s="2" t="inlineStr">
        <is>
          <t>F</t>
        </is>
      </c>
      <c r="D3" s="2" t="inlineStr">
        <is>
          <t>High</t>
        </is>
      </c>
      <c r="E3" s="2" t="inlineStr">
        <is>
          <t>ні</t>
        </is>
      </c>
      <c r="F3" s="2" t="inlineStr"/>
      <c r="G3" s="2" t="inlineStr"/>
      <c r="I3" s="2" t="inlineStr">
        <is>
          <t>GUI</t>
        </is>
      </c>
      <c r="J3" s="2">
        <f>COUNTIF($C$2:$C$43,"GUI")</f>
        <v/>
      </c>
    </row>
    <row r="4">
      <c r="A4" s="2" t="inlineStr">
        <is>
          <t>F-30</t>
        </is>
      </c>
      <c r="B4" s="2" t="inlineStr">
        <is>
          <t>Посилання «Forgot your Password?» і форма відновлення пароля</t>
        </is>
      </c>
      <c r="C4" s="2" t="inlineStr">
        <is>
          <t>F</t>
        </is>
      </c>
      <c r="D4" s="2" t="inlineStr">
        <is>
          <t>Medium</t>
        </is>
      </c>
      <c r="E4" s="2" t="inlineStr">
        <is>
          <t>ні</t>
        </is>
      </c>
      <c r="F4" s="2" t="inlineStr"/>
      <c r="G4" s="2" t="inlineStr">
        <is>
          <t>Доставку листа на demo спостерегти не можна (вигадані адреси) — кейс перевіряє форму і реакцію сторінки після надсилання.</t>
        </is>
      </c>
      <c r="I4" s="2" t="inlineStr">
        <is>
          <t>BL (чинні)</t>
        </is>
      </c>
      <c r="J4" s="2">
        <f>COUNTIF($C$2:$C$43,"BL")-COUNTIF($E$2:$E$43,"—")</f>
        <v/>
      </c>
    </row>
    <row r="5">
      <c r="A5" s="2" t="inlineStr">
        <is>
          <t>F-40</t>
        </is>
      </c>
      <c r="B5" s="2" t="inlineStr">
        <is>
          <t>Каталог карток: 9 на сторінці, пагінація, позначка «Out of stock»</t>
        </is>
      </c>
      <c r="C5" s="2" t="inlineStr">
        <is>
          <t>F</t>
        </is>
      </c>
      <c r="D5" s="2" t="inlineStr">
        <is>
          <t>High</t>
        </is>
      </c>
      <c r="E5" s="2" t="inlineStr">
        <is>
          <t>ні</t>
        </is>
      </c>
      <c r="F5" s="2" t="inlineStr"/>
      <c r="G5" s="2" t="inlineStr"/>
      <c r="I5" s="2" t="inlineStr">
        <is>
          <t>Нефункціональні</t>
        </is>
      </c>
      <c r="J5" s="2">
        <f>COUNTIF($C$2:$C$43,"нефункц.")</f>
        <v/>
      </c>
    </row>
    <row r="6">
      <c r="A6" s="2" t="inlineStr">
        <is>
          <t>F-50</t>
        </is>
      </c>
      <c r="B6" s="2" t="inlineStr">
        <is>
          <t>Фільтри: категорія, бренд, ціна (повзунок 1–200), «Eco-Friendly Products»; правила «І» / «АБО»</t>
        </is>
      </c>
      <c r="C6" s="2" t="inlineStr">
        <is>
          <t>F</t>
        </is>
      </c>
      <c r="D6" s="2" t="inlineStr">
        <is>
          <t>High</t>
        </is>
      </c>
      <c r="E6" s="2" t="inlineStr">
        <is>
          <t>так</t>
        </is>
      </c>
      <c r="F6" s="2" t="inlineStr"/>
      <c r="G6" s="2" t="inlineStr">
        <is>
          <t>Діапазон: повзунок ціни від 1 до 200. Кандидат для SCRUM-108.</t>
        </is>
      </c>
      <c r="I6" s="2" t="inlineStr">
        <is>
          <t>Разом чинних вимог</t>
        </is>
      </c>
      <c r="J6" s="2">
        <f>SUM(J2:J5)</f>
        <v/>
      </c>
    </row>
    <row r="7">
      <c r="A7" s="2" t="inlineStr">
        <is>
          <t>F-60</t>
        </is>
      </c>
      <c r="B7" s="2" t="inlineStr">
        <is>
          <t>Пошук за підрядком назви без урахування регістру; кнопки «Search» і «X»; заголовок «Searched for:»</t>
        </is>
      </c>
      <c r="C7" s="2" t="inlineStr">
        <is>
          <t>F</t>
        </is>
      </c>
      <c r="D7" s="2" t="inlineStr">
        <is>
          <t>High</t>
        </is>
      </c>
      <c r="E7" s="2" t="inlineStr">
        <is>
          <t>ні</t>
        </is>
      </c>
      <c r="F7" s="2" t="inlineStr"/>
      <c r="G7" s="2" t="inlineStr"/>
      <c r="I7" s="2" t="inlineStr">
        <is>
          <t>Вилучено (BL-30)</t>
        </is>
      </c>
      <c r="J7" s="2">
        <f>COUNTIF($E$2:$E$43,"—")</f>
        <v/>
      </c>
    </row>
    <row r="8">
      <c r="A8" s="2" t="inlineStr">
        <is>
          <t>F-70</t>
        </is>
      </c>
      <c r="B8" s="2" t="inlineStr">
        <is>
          <t>Сортування каталогу: 6 варіантів, з урахуванням фільтрів, на всіх сторінках</t>
        </is>
      </c>
      <c r="C8" s="2" t="inlineStr">
        <is>
          <t>F</t>
        </is>
      </c>
      <c r="D8" s="2" t="inlineStr">
        <is>
          <t>Medium</t>
        </is>
      </c>
      <c r="E8" s="2" t="inlineStr">
        <is>
          <t>ні</t>
        </is>
      </c>
      <c r="F8" s="2" t="inlineStr"/>
      <c r="G8" s="2" t="inlineStr"/>
      <c r="I8" s="2" t="inlineStr">
        <is>
          <t>З діапазонами («так»)</t>
        </is>
      </c>
      <c r="J8" s="2">
        <f>COUNTIF($E$2:$E$43,"так")</f>
        <v/>
      </c>
    </row>
    <row r="9">
      <c r="A9" s="2" t="inlineStr">
        <is>
          <t>F-80</t>
        </is>
      </c>
      <c r="B9" s="2" t="inlineStr">
        <is>
          <t>Сторінка товару: склад даних і кнопок; «Add to cart» недоступна для товару без залишку</t>
        </is>
      </c>
      <c r="C9" s="2" t="inlineStr">
        <is>
          <t>F</t>
        </is>
      </c>
      <c r="D9" s="2" t="inlineStr">
        <is>
          <t>High</t>
        </is>
      </c>
      <c r="E9" s="2" t="inlineStr">
        <is>
          <t>ні</t>
        </is>
      </c>
      <c r="F9" s="2" t="inlineStr"/>
      <c r="G9" s="2" t="inlineStr"/>
      <c r="I9" s="2" t="inlineStr">
        <is>
          <t>F і GUI — покриваються обов'язково</t>
        </is>
      </c>
      <c r="J9" s="2">
        <f>J2+J3</f>
        <v/>
      </c>
    </row>
    <row r="10">
      <c r="A10" s="2" t="inlineStr">
        <is>
          <t>F-90</t>
        </is>
      </c>
      <c r="B10" s="2" t="inlineStr">
        <is>
          <t>«Add to cart»: повідомлення «Product added to shopping cart.» не пізніше 2 с; повторне додавання збільшує кількість</t>
        </is>
      </c>
      <c r="C10" s="2" t="inlineStr">
        <is>
          <t>F</t>
        </is>
      </c>
      <c r="D10" s="2" t="inlineStr">
        <is>
          <t>High</t>
        </is>
      </c>
      <c r="E10" s="2" t="inlineStr">
        <is>
          <t>ні</t>
        </is>
      </c>
      <c r="F10" s="2" t="inlineStr"/>
      <c r="G10" s="2" t="inlineStr">
        <is>
          <t>2 с — обмеження часу реакції, а не вхідних даних.</t>
        </is>
      </c>
      <c r="I10" s="2" t="inlineStr">
        <is>
          <t>Пропозиція ТА — не покривати</t>
        </is>
      </c>
      <c r="J10" s="2">
        <f>COUNTIF($G$2:$G$43,"*Пропозиція ТА — не покривати*")</f>
        <v/>
      </c>
    </row>
    <row r="11">
      <c r="A11" s="2" t="inlineStr">
        <is>
          <t>F-100</t>
        </is>
      </c>
      <c r="B11" s="2" t="inlineStr">
        <is>
          <t>Крок «Cart»: зміна кількості, видалення позиції, перерахунок «Total»; кількість у рядку 1–99</t>
        </is>
      </c>
      <c r="C11" s="2" t="inlineStr">
        <is>
          <t>F</t>
        </is>
      </c>
      <c r="D11" s="2" t="inlineStr">
        <is>
          <t>High</t>
        </is>
      </c>
      <c r="E11" s="2" t="inlineStr">
        <is>
          <t>так</t>
        </is>
      </c>
      <c r="F11" s="2" t="inlineStr"/>
      <c r="G11" s="2" t="inlineStr">
        <is>
          <t>Діапазон: кількість у рядку від 1 до 99 (граничні 0 / 1 / 99 / 100). Кандидат для SCRUM-108.</t>
        </is>
      </c>
      <c r="I11" s="2" t="inlineStr">
        <is>
          <t>Пропозиція ТА — частково</t>
        </is>
      </c>
      <c r="J11" s="2">
        <f>COUNTIF($G$2:$G$43,"*Пропозиція ТА — частково*")</f>
        <v/>
      </c>
    </row>
    <row r="12">
      <c r="A12" s="2" t="inlineStr">
        <is>
          <t>F-110</t>
        </is>
      </c>
      <c r="B12" s="2" t="inlineStr">
        <is>
          <t>Оформлення замовлення у 4 кроки, способи оплати, повідомлення з номером інвойсу</t>
        </is>
      </c>
      <c r="C12" s="2" t="inlineStr">
        <is>
          <t>F</t>
        </is>
      </c>
      <c r="D12" s="2" t="inlineStr">
        <is>
          <t>High</t>
        </is>
      </c>
      <c r="E12" s="2" t="inlineStr">
        <is>
          <t>ні</t>
        </is>
      </c>
      <c r="F12" s="2" t="inlineStr"/>
      <c r="G12" s="2" t="inlineStr">
        <is>
          <t>Поріг безкоштовної доставки 1500 грн (BL-60) — частина нової функції (модуль не інтегровано, SRS 1.1 розд. 2.3), у demo не відображається; граничні значення порогу — юніт-тести BL-60 у спринті 4. Через UI перевіряються 4 кроки, способи оплати й номер інвойсу.</t>
        </is>
      </c>
      <c r="I12" s="2" t="inlineStr">
        <is>
          <t>Покрито кейсами (TC-… заповнено)</t>
        </is>
      </c>
      <c r="J12" s="2">
        <f>COUNTIF($F$2:$F$43,"TC-*")</f>
        <v/>
      </c>
    </row>
    <row r="13">
      <c r="A13" s="2" t="inlineStr">
        <is>
          <t>F-120</t>
        </is>
      </c>
      <c r="B13" s="2" t="inlineStr">
        <is>
          <t>Обране: додавання лише після входу; перегляд і видалення в «My favorites»</t>
        </is>
      </c>
      <c r="C13" s="2" t="inlineStr">
        <is>
          <t>F</t>
        </is>
      </c>
      <c r="D13" s="2" t="inlineStr">
        <is>
          <t>Medium</t>
        </is>
      </c>
      <c r="E13" s="2" t="inlineStr">
        <is>
          <t>ні</t>
        </is>
      </c>
      <c r="F13" s="2" t="inlineStr"/>
      <c r="G13" s="2" t="inlineStr"/>
    </row>
    <row r="14">
      <c r="A14" s="2" t="inlineStr">
        <is>
          <t>F-130</t>
        </is>
      </c>
      <c r="B14" s="2" t="inlineStr">
        <is>
          <t>Кабінет: «My profile» (зміна пароля), «My favorites», «My invoices» (PDF), «My messages»</t>
        </is>
      </c>
      <c r="C14" s="2" t="inlineStr">
        <is>
          <t>F</t>
        </is>
      </c>
      <c r="D14" s="2" t="inlineStr">
        <is>
          <t>Medium</t>
        </is>
      </c>
      <c r="E14" s="2" t="inlineStr">
        <is>
          <t>ні</t>
        </is>
      </c>
      <c r="F14" s="2" t="inlineStr"/>
      <c r="G14" s="2" t="inlineStr">
        <is>
          <t>Етика demo (методичка, п. 5.4): пароль спільного тестового облікового запису не змінювати — зміну пароля перевіряти лише на власному зареєстрованому обліковому записі.</t>
        </is>
      </c>
    </row>
    <row r="15">
      <c r="A15" s="2" t="inlineStr">
        <is>
          <t>F-140</t>
        </is>
      </c>
      <c r="B15" s="2" t="inlineStr">
        <is>
          <t>Контактна форма: обов'язкові поля, повідомлення 50–250 символів, вкладення .txt до 500 КБ</t>
        </is>
      </c>
      <c r="C15" s="2" t="inlineStr">
        <is>
          <t>F</t>
        </is>
      </c>
      <c r="D15" s="2" t="inlineStr">
        <is>
          <t>Medium</t>
        </is>
      </c>
      <c r="E15" s="2" t="inlineStr">
        <is>
          <t>так</t>
        </is>
      </c>
      <c r="F15" s="2" t="inlineStr"/>
      <c r="G15" s="2" t="inlineStr">
        <is>
          <t>Діапазон: довжина повідомлення 50–250 символів (граничні 49 / 50 / 250 / 251); розмір файла до 500 КБ. Кандидат для SCRUM-108. Етика: лише вигадані тексти (п. 5.4).</t>
        </is>
      </c>
    </row>
    <row r="16">
      <c r="A16" s="2" t="inlineStr">
        <is>
          <t>GUI-10</t>
        </is>
      </c>
      <c r="B16" s="2" t="inlineStr">
        <is>
          <t>Шапка: логотип, меню, перемикач мови; після входу — меню користувача і «Sign out»</t>
        </is>
      </c>
      <c r="C16" s="2" t="inlineStr">
        <is>
          <t>GUI</t>
        </is>
      </c>
      <c r="D16" s="2" t="inlineStr">
        <is>
          <t>High</t>
        </is>
      </c>
      <c r="E16" s="2" t="inlineStr">
        <is>
          <t>ні</t>
        </is>
      </c>
      <c r="F16" s="2" t="inlineStr"/>
      <c r="G16" s="2" t="inlineStr"/>
    </row>
    <row r="17">
      <c r="A17" s="2" t="inlineStr">
        <is>
          <t>GUI-20</t>
        </is>
      </c>
      <c r="B17" s="2" t="inlineStr">
        <is>
          <t>Сітка каталогу: 3 колонки по 9 карток; вміст картки; позначка «Out of stock»</t>
        </is>
      </c>
      <c r="C17" s="2" t="inlineStr">
        <is>
          <t>GUI</t>
        </is>
      </c>
      <c r="D17" s="2" t="inlineStr">
        <is>
          <t>Medium</t>
        </is>
      </c>
      <c r="E17" s="2" t="inlineStr">
        <is>
          <t>ні</t>
        </is>
      </c>
      <c r="F17" s="2" t="inlineStr"/>
      <c r="G17" s="2" t="inlineStr"/>
    </row>
    <row r="18">
      <c r="A18" s="2" t="inlineStr">
        <is>
          <t>GUI-30</t>
        </is>
      </c>
      <c r="B18" s="2" t="inlineStr">
        <is>
          <t>Поле «Quantity»: кнопки «−» / «+», цілі значення 1–99, за замовчуванням 1</t>
        </is>
      </c>
      <c r="C18" s="2" t="inlineStr">
        <is>
          <t>GUI</t>
        </is>
      </c>
      <c r="D18" s="2" t="inlineStr">
        <is>
          <t>High</t>
        </is>
      </c>
      <c r="E18" s="2" t="inlineStr">
        <is>
          <t>так</t>
        </is>
      </c>
      <c r="F18" s="2" t="inlineStr"/>
      <c r="G18" s="2" t="inlineStr">
        <is>
          <t>Діапазон: від 1 до 99 включно (граничні 0 / 1 / 99 / 100). Кандидат для SCRUM-108.</t>
        </is>
      </c>
    </row>
    <row r="19">
      <c r="A19" s="2" t="inlineStr">
        <is>
          <t>GUI-40</t>
        </is>
      </c>
      <c r="B19" s="2" t="inlineStr">
        <is>
          <t>«Add to favourites» без входу: повідомлення «Unauthorized, can not add product to your favorite list»</t>
        </is>
      </c>
      <c r="C19" s="2" t="inlineStr">
        <is>
          <t>GUI</t>
        </is>
      </c>
      <c r="D19" s="2" t="inlineStr">
        <is>
          <t>Medium</t>
        </is>
      </c>
      <c r="E19" s="2" t="inlineStr">
        <is>
          <t>ні</t>
        </is>
      </c>
      <c r="F19" s="2" t="inlineStr"/>
      <c r="G19" s="2" t="inlineStr"/>
    </row>
    <row r="20">
      <c r="A20" s="2" t="inlineStr">
        <is>
          <t>GUI-50</t>
        </is>
      </c>
      <c r="B20" s="2" t="inlineStr">
        <is>
          <t>Повідомлення валідації — текстом під полем; форма з помилками не надсилається</t>
        </is>
      </c>
      <c r="C20" s="2" t="inlineStr">
        <is>
          <t>GUI</t>
        </is>
      </c>
      <c r="D20" s="2" t="inlineStr">
        <is>
          <t>High</t>
        </is>
      </c>
      <c r="E20" s="2" t="inlineStr">
        <is>
          <t>ні</t>
        </is>
      </c>
      <c r="F20" s="2" t="inlineStr"/>
      <c r="G20" s="2" t="inlineStr"/>
    </row>
    <row r="21">
      <c r="A21" s="2" t="inlineStr">
        <is>
          <t>GUI-60</t>
        </is>
      </c>
      <c r="B21" s="2" t="inlineStr">
        <is>
          <t>Форма входу: поля, показати / приховати пароль, «Login», «Sign in with Google», посилання</t>
        </is>
      </c>
      <c r="C21" s="2" t="inlineStr">
        <is>
          <t>GUI</t>
        </is>
      </c>
      <c r="D21" s="2" t="inlineStr">
        <is>
          <t>High</t>
        </is>
      </c>
      <c r="E21" s="2" t="inlineStr">
        <is>
          <t>ні</t>
        </is>
      </c>
      <c r="F21" s="2" t="inlineStr"/>
      <c r="G21" s="2" t="inlineStr"/>
    </row>
    <row r="22">
      <c r="A22" s="2" t="inlineStr">
        <is>
          <t>GUI-65</t>
        </is>
      </c>
      <c r="B22" s="2" t="inlineStr">
        <is>
          <t>Форма реєстрації: порядок полів, правила й індикатор надійності пароля, кнопка «Register»</t>
        </is>
      </c>
      <c r="C22" s="2" t="inlineStr">
        <is>
          <t>GUI</t>
        </is>
      </c>
      <c r="D22" s="2" t="inlineStr">
        <is>
          <t>Medium</t>
        </is>
      </c>
      <c r="E22" s="2" t="inlineStr">
        <is>
          <t>ні</t>
        </is>
      </c>
      <c r="F22" s="2" t="inlineStr"/>
      <c r="G22" s="2" t="inlineStr">
        <is>
          <t>Новий ID у SRS 1.1 (у SRS 1.0 — другий рядок GUI-60, дефект №19).</t>
        </is>
      </c>
    </row>
    <row r="23">
      <c r="A23" s="2" t="inlineStr">
        <is>
          <t>GUI-70</t>
        </is>
      </c>
      <c r="B23" s="2" t="inlineStr">
        <is>
          <t>Крок «Cart»: колонки таблиці, видалення рядка, «Total», «Proceed to checkout»; порожній кошик</t>
        </is>
      </c>
      <c r="C23" s="2" t="inlineStr">
        <is>
          <t>GUI</t>
        </is>
      </c>
      <c r="D23" s="2" t="inlineStr">
        <is>
          <t>High</t>
        </is>
      </c>
      <c r="E23" s="2" t="inlineStr">
        <is>
          <t>ні</t>
        </is>
      </c>
      <c r="F23" s="2" t="inlineStr"/>
      <c r="G23" s="2" t="inlineStr"/>
    </row>
    <row r="24">
      <c r="A24" s="2" t="inlineStr">
        <is>
          <t>GUI-80</t>
        </is>
      </c>
      <c r="B24" s="2" t="inlineStr">
        <is>
          <t>Роздільна здатність зображень (не менше 1200×1200 / 400×400) і завантаження картки ≤ 1 с при 10 Мбіт/с</t>
        </is>
      </c>
      <c r="C24" s="2" t="inlineStr">
        <is>
          <t>GUI</t>
        </is>
      </c>
      <c r="D24" s="2" t="inlineStr">
        <is>
          <t>Low</t>
        </is>
      </c>
      <c r="E24" s="2" t="inlineStr">
        <is>
          <t>ні</t>
        </is>
      </c>
      <c r="F24" s="2" t="inlineStr"/>
      <c r="G24" s="2" t="inlineStr">
        <is>
          <t>Числові межі — характеристики зображень, не вхідні дані. Перевірка вручну: розмір зображення і час завантаження в Chrome DevTools (throttling 10 Мбіт/с).</t>
        </is>
      </c>
    </row>
    <row r="25">
      <c r="A25" s="2" t="inlineStr">
        <is>
          <t>GUI-90</t>
        </is>
      </c>
      <c r="B25" s="2" t="inlineStr">
        <is>
          <t>Сторінка «Contact»: вигляд полів, кнопка «Send», повідомлення про прийняття звернення</t>
        </is>
      </c>
      <c r="C25" s="2" t="inlineStr">
        <is>
          <t>GUI</t>
        </is>
      </c>
      <c r="D25" s="2" t="inlineStr">
        <is>
          <t>Medium</t>
        </is>
      </c>
      <c r="E25" s="2" t="inlineStr">
        <is>
          <t>ні</t>
        </is>
      </c>
      <c r="F25" s="2" t="inlineStr"/>
      <c r="G25" s="2" t="inlineStr"/>
    </row>
    <row r="26">
      <c r="A26" s="2" t="inlineStr">
        <is>
          <t>GUI-100</t>
        </is>
      </c>
      <c r="B26" s="2" t="inlineStr">
        <is>
          <t>Контраст тексту не менше 4.5:1 (3:1 для великих елементів), основний шрифт не менше 14px</t>
        </is>
      </c>
      <c r="C26" s="2" t="inlineStr">
        <is>
          <t>GUI</t>
        </is>
      </c>
      <c r="D26" s="2" t="inlineStr">
        <is>
          <t>Low</t>
        </is>
      </c>
      <c r="E26" s="2" t="inlineStr">
        <is>
          <t>ні</t>
        </is>
      </c>
      <c r="F26" s="2" t="inlineStr"/>
      <c r="G26" s="2" t="inlineStr">
        <is>
          <t>Перевірка вручну інструментами Chrome DevTools (контраст, обчислений розмір шрифту).</t>
        </is>
      </c>
    </row>
    <row r="27">
      <c r="A27" s="2" t="inlineStr">
        <is>
          <t>BL-10</t>
        </is>
      </c>
      <c r="B27" s="2" t="inlineStr">
        <is>
          <t>Cart.addItem: qty 1–99, ціна &gt; 0.00 після округлення, непорожні sku і name</t>
        </is>
      </c>
      <c r="C27" s="2" t="inlineStr">
        <is>
          <t>BL</t>
        </is>
      </c>
      <c r="D27" s="2" t="inlineStr">
        <is>
          <t>High</t>
        </is>
      </c>
      <c r="E27" s="2" t="inlineStr">
        <is>
          <t>так</t>
        </is>
      </c>
      <c r="F27" s="2" t="inlineStr"/>
      <c r="G27" s="2" t="inlineStr">
        <is>
          <t>Діапазон: qty 1–99; unitPrice &gt; 0.00. 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 Обмеження кількості в інтерфейсі перевіряють кейси F-100, GUI-30.</t>
        </is>
      </c>
    </row>
    <row r="28">
      <c r="A28" s="2" t="inlineStr">
        <is>
          <t>BL-20</t>
        </is>
      </c>
      <c r="B28" s="2" t="inlineStr">
        <is>
          <t>Повторне додавання того самого sku збільшує кількість рядка, не більше 99</t>
        </is>
      </c>
      <c r="C28" s="2" t="inlineStr">
        <is>
          <t>BL</t>
        </is>
      </c>
      <c r="D28" s="2" t="inlineStr">
        <is>
          <t>High</t>
        </is>
      </c>
      <c r="E28" s="2" t="inlineStr">
        <is>
          <t>так</t>
        </is>
      </c>
      <c r="F28" s="2" t="inlineStr"/>
      <c r="G28" s="2" t="inlineStr">
        <is>
          <t>Діапазон: результуюча кількість ≤ 99. 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 Повторне додавання в інтерфейсі перевіряє кейс F-90.</t>
        </is>
      </c>
    </row>
    <row r="29">
      <c r="A29" s="4" t="inlineStr">
        <is>
          <t>BL-30</t>
        </is>
      </c>
      <c r="B29" s="4" t="inlineStr">
        <is>
          <t>Вилучено у SRS 1.1 (дублювала BL-20; дефект №30)</t>
        </is>
      </c>
      <c r="C29" s="4" t="inlineStr">
        <is>
          <t>BL</t>
        </is>
      </c>
      <c r="D29" s="4" t="inlineStr">
        <is>
          <t>—</t>
        </is>
      </c>
      <c r="E29" s="4" t="inlineStr">
        <is>
          <t>—</t>
        </is>
      </c>
      <c r="F29" s="4" t="inlineStr"/>
      <c r="G29" s="4" t="inlineStr">
        <is>
          <t>Вимоги немає — не покривається; номер не перевикористовується.</t>
        </is>
      </c>
    </row>
    <row r="30">
      <c r="A30" s="2" t="inlineStr">
        <is>
          <t>BL-40</t>
        </is>
      </c>
      <c r="B30" s="2" t="inlineStr">
        <is>
          <t>Cart.removeItem, changeQty (1–99), subtotal, itemCount</t>
        </is>
      </c>
      <c r="C30" s="2" t="inlineStr">
        <is>
          <t>BL</t>
        </is>
      </c>
      <c r="D30" s="2" t="inlineStr">
        <is>
          <t>High</t>
        </is>
      </c>
      <c r="E30" s="2" t="inlineStr">
        <is>
          <t>так</t>
        </is>
      </c>
      <c r="F30" s="2" t="inlineStr"/>
      <c r="G30" s="2" t="inlineStr">
        <is>
          <t>Діапазон: нова кількість 1–99. 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</t>
        </is>
      </c>
    </row>
    <row r="31">
      <c r="A31" s="2" t="inlineStr">
        <is>
          <t>BL-50</t>
        </is>
      </c>
      <c r="B31" s="2" t="inlineStr">
        <is>
          <t>Знижка за обсяг: 5 % від 2000, 10 % від 5000, 15 % від 10000 грн</t>
        </is>
      </c>
      <c r="C31" s="2" t="inlineStr">
        <is>
          <t>BL</t>
        </is>
      </c>
      <c r="D31" s="2" t="inlineStr">
        <is>
          <t>High</t>
        </is>
      </c>
      <c r="E31" s="2" t="inlineStr">
        <is>
          <t>так</t>
        </is>
      </c>
      <c r="F31" s="2" t="inlineStr"/>
      <c r="G31" s="2" t="inlineStr">
        <is>
          <t>Діапазон: пороги 2000 / 5000 / 10000 грн. 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</t>
        </is>
      </c>
    </row>
    <row r="32">
      <c r="A32" s="2" t="inlineStr">
        <is>
          <t>BL-60</t>
        </is>
      </c>
      <c r="B32" s="2" t="inlineStr">
        <is>
          <t>Доставка 0.00 грн, якщо сума після знижок не менша за 1500 грн, інакше 120.00 грн</t>
        </is>
      </c>
      <c r="C32" s="2" t="inlineStr">
        <is>
          <t>BL</t>
        </is>
      </c>
      <c r="D32" s="2" t="inlineStr">
        <is>
          <t>High</t>
        </is>
      </c>
      <c r="E32" s="2" t="inlineStr">
        <is>
          <t>так</t>
        </is>
      </c>
      <c r="F32" s="2" t="inlineStr"/>
      <c r="G32" s="2" t="inlineStr">
        <is>
          <t>Діапазон: поріг 1500 грн. 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</t>
        </is>
      </c>
    </row>
    <row r="33">
      <c r="A33" s="2" t="inlineStr">
        <is>
          <t>BL-70</t>
        </is>
      </c>
      <c r="B33" s="2" t="inlineStr">
        <is>
          <t>Валідація промокоду: довжина 6–10, дата закінчення, одноразовість, відсоток 1–50, фіксована сума; причини відмови</t>
        </is>
      </c>
      <c r="C33" s="2" t="inlineStr">
        <is>
          <t>BL</t>
        </is>
      </c>
      <c r="D33" s="2" t="inlineStr">
        <is>
          <t>High</t>
        </is>
      </c>
      <c r="E33" s="2" t="inlineStr">
        <is>
          <t>так</t>
        </is>
      </c>
      <c r="F33" s="2" t="inlineStr"/>
      <c r="G33" s="2" t="inlineStr">
        <is>
          <t>Діапазони: довжина коду 6–10 символів; відсоток 1–50. 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 Промокодів у demo немає.</t>
        </is>
      </c>
    </row>
    <row r="34">
      <c r="A34" s="2" t="inlineStr">
        <is>
          <t>BL-80</t>
        </is>
      </c>
      <c r="B34" s="2" t="inlineStr">
        <is>
          <t>Застосування промокоду: сума знижки; відхилення використаного коду</t>
        </is>
      </c>
      <c r="C34" s="2" t="inlineStr">
        <is>
          <t>BL</t>
        </is>
      </c>
      <c r="D34" s="2" t="inlineStr">
        <is>
          <t>High</t>
        </is>
      </c>
      <c r="E34" s="2" t="inlineStr">
        <is>
          <t>ні</t>
        </is>
      </c>
      <c r="F34" s="2" t="inlineStr"/>
      <c r="G34" s="2" t="inlineStr">
        <is>
          <t>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</t>
        </is>
      </c>
    </row>
    <row r="35">
      <c r="A35" s="2" t="inlineStr">
        <is>
          <t>P-10</t>
        </is>
      </c>
      <c r="B35" s="2" t="inlineStr">
        <is>
          <t>Сторінка каталогу завантажується ≤ 3 с у 95 % із 20 замірів Lighthouse (Chrome 120, 10 Мбіт/с)</t>
        </is>
      </c>
      <c r="C35" s="2" t="inlineStr">
        <is>
          <t>нефункц.</t>
        </is>
      </c>
      <c r="D35" s="2" t="inlineStr">
        <is>
          <t>High</t>
        </is>
      </c>
      <c r="E35" s="2" t="inlineStr">
        <is>
          <t>ні</t>
        </is>
      </c>
      <c r="F35" s="2" t="inlineStr"/>
      <c r="G35" s="2" t="inlineStr">
        <is>
          <t>Перевіряється вручну (Lighthouse у Chrome) — можна покрити кейсом.</t>
        </is>
      </c>
    </row>
    <row r="36">
      <c r="A36" s="2" t="inlineStr">
        <is>
          <t>P-20</t>
        </is>
      </c>
      <c r="B36" s="2" t="inlineStr">
        <is>
          <t>API каталогу: ≤ 1 с для 95 % запитів при 100 одночасних покупцях протягом 10 хв</t>
        </is>
      </c>
      <c r="C36" s="2" t="inlineStr">
        <is>
          <t>нефункц.</t>
        </is>
      </c>
      <c r="D36" s="2" t="inlineStr">
        <is>
          <t>Medium</t>
        </is>
      </c>
      <c r="E36" s="2" t="inlineStr">
        <is>
          <t>ні</t>
        </is>
      </c>
      <c r="F36" s="2" t="inlineStr"/>
      <c r="G36" s="2" t="inlineStr">
        <is>
          <t>Пропозиція ТА — не покривати: навантажувальні перевірки на публічному demo заборонені (методичка, п. 5.4). Рішення — КТ.</t>
        </is>
      </c>
    </row>
    <row r="37">
      <c r="A37" s="2" t="inlineStr">
        <is>
          <t>S-10</t>
        </is>
      </c>
      <c r="B37" s="2" t="inlineStr">
        <is>
          <t>Хеш bcrypt, лише HTTPS (перенаправлення з HTTP), 403 на чужі дані, немає вразливостей Critical / High</t>
        </is>
      </c>
      <c r="C37" s="2" t="inlineStr">
        <is>
          <t>нефункц.</t>
        </is>
      </c>
      <c r="D37" s="2" t="inlineStr">
        <is>
          <t>High</t>
        </is>
      </c>
      <c r="E37" s="2" t="inlineStr">
        <is>
          <t>ні</t>
        </is>
      </c>
      <c r="F37" s="2" t="inlineStr"/>
      <c r="G37" s="2" t="inlineStr">
        <is>
          <t>Пропозиція ТА — частково: кейсом перевіряється лише перенаправлення HTTP → HTTPS; хеш паролів, доступ до чужих даних і сканування на публічному demo не перевіряються (п. 5.4: захищеність — лише спостереженням). Рішення — КТ.</t>
        </is>
      </c>
    </row>
    <row r="38">
      <c r="A38" s="2" t="inlineStr">
        <is>
          <t>S-20</t>
        </is>
      </c>
      <c r="B38" s="2" t="inlineStr">
        <is>
          <t>Маскування пароля; після «Sign out» /account перенаправляє на вхід; кабінет і кроки 3–4 без входу недоступні</t>
        </is>
      </c>
      <c r="C38" s="2" t="inlineStr">
        <is>
          <t>нефункц.</t>
        </is>
      </c>
      <c r="D38" s="2" t="inlineStr">
        <is>
          <t>High</t>
        </is>
      </c>
      <c r="E38" s="2" t="inlineStr">
        <is>
          <t>ні</t>
        </is>
      </c>
      <c r="F38" s="2" t="inlineStr"/>
      <c r="G38" s="2" t="inlineStr">
        <is>
          <t>Перевіряється спостереженням — можна покрити кейсом.</t>
        </is>
      </c>
    </row>
    <row r="39">
      <c r="A39" s="2" t="inlineStr">
        <is>
          <t>U-10</t>
        </is>
      </c>
      <c r="B39" s="2" t="inlineStr">
        <is>
          <t>Новий користувач проходить чекаут ≤ 3 хв; Task Success Rate ≥ 90 % на 10 респондентах</t>
        </is>
      </c>
      <c r="C39" s="2" t="inlineStr">
        <is>
          <t>нефункц.</t>
        </is>
      </c>
      <c r="D39" s="2" t="inlineStr">
        <is>
          <t>Medium</t>
        </is>
      </c>
      <c r="E39" s="2" t="inlineStr">
        <is>
          <t>ні</t>
        </is>
      </c>
      <c r="F39" s="2" t="inlineStr"/>
      <c r="G39" s="2" t="inlineStr">
        <is>
          <t>Пропозиція ТА — не покривати у спринті 3: потрібне юзабіліті-дослідження з 10 респондентами (план тестування, тип 3 — етап альфа / UAT). Рішення — КТ.</t>
        </is>
      </c>
    </row>
    <row r="40">
      <c r="A40" s="2" t="inlineStr">
        <is>
          <t>U-20</t>
        </is>
      </c>
      <c r="B40" s="2" t="inlineStr">
        <is>
          <t>Мітки полів, зірочки обов'язкових, помилки текстом, доступ з клавіатури (Tab, Enter)</t>
        </is>
      </c>
      <c r="C40" s="2" t="inlineStr">
        <is>
          <t>нефункц.</t>
        </is>
      </c>
      <c r="D40" s="2" t="inlineStr">
        <is>
          <t>Medium</t>
        </is>
      </c>
      <c r="E40" s="2" t="inlineStr">
        <is>
          <t>ні</t>
        </is>
      </c>
      <c r="F40" s="2" t="inlineStr"/>
      <c r="G40" s="2" t="inlineStr">
        <is>
          <t>Перевіряється вручну — можна покрити кейсом.</t>
        </is>
      </c>
    </row>
    <row r="41">
      <c r="A41" s="2" t="inlineStr">
        <is>
          <t>U-30</t>
        </is>
      </c>
      <c r="B41" s="2" t="inlineStr">
        <is>
          <t>Ширина 375 px: без горизонтального прокручування, меню доступне, кнопки не менше 44×44 px</t>
        </is>
      </c>
      <c r="C41" s="2" t="inlineStr">
        <is>
          <t>нефункц.</t>
        </is>
      </c>
      <c r="D41" s="2" t="inlineStr">
        <is>
          <t>Medium</t>
        </is>
      </c>
      <c r="E41" s="2" t="inlineStr">
        <is>
          <t>ні</t>
        </is>
      </c>
      <c r="F41" s="2" t="inlineStr"/>
      <c r="G41" s="2" t="inlineStr">
        <is>
          <t>Перевіряється вручну (Chrome DevTools, режим пристрою 375 px) — можна покрити кейсом.</t>
        </is>
      </c>
    </row>
    <row r="42">
      <c r="A42" s="2" t="inlineStr">
        <is>
          <t>D-10</t>
        </is>
      </c>
      <c r="B42" s="2" t="inlineStr">
        <is>
          <t>Посібник користувача: реєстрація, пошук, оформлення замовлення, кабінет, правила BL-50 – BL-80</t>
        </is>
      </c>
      <c r="C42" s="2" t="inlineStr">
        <is>
          <t>нефункц.</t>
        </is>
      </c>
      <c r="D42" s="2" t="inlineStr">
        <is>
          <t>Low</t>
        </is>
      </c>
      <c r="E42" s="2" t="inlineStr">
        <is>
          <t>ні</t>
        </is>
      </c>
      <c r="F42" s="2" t="inlineStr"/>
      <c r="G42" s="2" t="inlineStr">
        <is>
          <t>Пропозиція ТА — не покривати у спринті 3: посібник користувача не надано (немає серед посилань SRS 1.1, розд. 1.4); перевірка документації — план тестування, тип 15. Рішення — КТ.</t>
        </is>
      </c>
    </row>
    <row r="43">
      <c r="A43" s="2" t="inlineStr">
        <is>
          <t>D-20</t>
        </is>
      </c>
      <c r="B43" s="2" t="inlineStr">
        <is>
          <t>README модуля: збирання і тести mvn test (JDK 17), класи й методи, посилання на BL-xx</t>
        </is>
      </c>
      <c r="C43" s="2" t="inlineStr">
        <is>
          <t>нефункц.</t>
        </is>
      </c>
      <c r="D43" s="2" t="inlineStr">
        <is>
          <t>Medium</t>
        </is>
      </c>
      <c r="E43" s="2" t="inlineStr">
        <is>
          <t>ні</t>
        </is>
      </c>
      <c r="F43" s="2" t="inlineStr"/>
      <c r="G43" s="2" t="inlineStr">
        <is>
          <t>Пропозиція ТА — не покривати у спринті 3: модуль бізнес-логіки надається у спринті 4 (code/modules/shopline/v1/). Рішення — КТ.</t>
        </is>
      </c>
    </row>
  </sheetData>
  <autoFilter ref="A1:G43"/>
  <dataValidations count="1">
    <dataValidation sqref="E2:E43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2026-10-24T19:32:47Z</dcterms:created>
  <dcterms:modified xmlns:dcterms="http://purl.org/dc/terms/" xmlns:xsi="http://www.w3.org/2001/XMLSchema-instance" xsi:type="dcterms:W3CDTF">2026-10-24T20:15:25Z</dcterms:modified>
</cp:coreProperties>
</file>